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im/Desktop/"/>
    </mc:Choice>
  </mc:AlternateContent>
  <xr:revisionPtr revIDLastSave="0" documentId="13_ncr:1_{5ACF4519-D332-234D-83AD-731116706335}" xr6:coauthVersionLast="47" xr6:coauthVersionMax="47" xr10:uidLastSave="{00000000-0000-0000-0000-000000000000}"/>
  <bookViews>
    <workbookView xWindow="0" yWindow="0" windowWidth="28160" windowHeight="17620" tabRatio="500" xr2:uid="{00000000-000D-0000-FFFF-FFFF00000000}"/>
  </bookViews>
  <sheets>
    <sheet name="대시보드" sheetId="1" r:id="rId1"/>
    <sheet name="주간체크리스트" sheetId="2" r:id="rId2"/>
    <sheet name="월간마일스톤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43" i="2" l="1"/>
  <c r="AB43" i="2"/>
  <c r="AA43" i="2"/>
  <c r="AC42" i="2"/>
  <c r="AB42" i="2"/>
  <c r="AA42" i="2"/>
  <c r="AC41" i="2"/>
  <c r="AB41" i="2"/>
  <c r="AA41" i="2"/>
  <c r="AC40" i="2"/>
  <c r="AB40" i="2"/>
  <c r="AA40" i="2"/>
  <c r="AC39" i="2"/>
  <c r="AB39" i="2"/>
  <c r="AA39" i="2"/>
  <c r="AC38" i="2"/>
  <c r="AB38" i="2"/>
  <c r="AA38" i="2"/>
  <c r="AC37" i="2"/>
  <c r="AB37" i="2"/>
  <c r="AA37" i="2"/>
  <c r="AC36" i="2"/>
  <c r="AB36" i="2"/>
  <c r="AA36" i="2"/>
  <c r="AC35" i="2"/>
  <c r="AB35" i="2"/>
  <c r="AA35" i="2"/>
  <c r="AC34" i="2"/>
  <c r="AB34" i="2"/>
  <c r="AA34" i="2"/>
  <c r="AC33" i="2"/>
  <c r="AB33" i="2"/>
  <c r="AA33" i="2"/>
  <c r="AC32" i="2"/>
  <c r="AB32" i="2"/>
  <c r="AA32" i="2"/>
  <c r="AC31" i="2"/>
  <c r="AB31" i="2"/>
  <c r="AA31" i="2"/>
  <c r="AC30" i="2"/>
  <c r="AB30" i="2"/>
  <c r="AA30" i="2"/>
  <c r="AC29" i="2"/>
  <c r="AB29" i="2"/>
  <c r="AA29" i="2"/>
  <c r="AC28" i="2"/>
  <c r="AB28" i="2"/>
  <c r="AA28" i="2"/>
  <c r="AC27" i="2"/>
  <c r="AB27" i="2"/>
  <c r="AA27" i="2"/>
  <c r="AC26" i="2"/>
  <c r="AB26" i="2"/>
  <c r="AA26" i="2"/>
  <c r="AC25" i="2"/>
  <c r="AB25" i="2"/>
  <c r="AA25" i="2"/>
  <c r="AC24" i="2"/>
  <c r="AB24" i="2"/>
  <c r="AA24" i="2"/>
  <c r="AC23" i="2"/>
  <c r="AB23" i="2"/>
  <c r="AA23" i="2"/>
  <c r="AC22" i="2"/>
  <c r="AB22" i="2"/>
  <c r="AA22" i="2"/>
  <c r="AC21" i="2"/>
  <c r="AB21" i="2"/>
  <c r="AA21" i="2"/>
  <c r="AC20" i="2"/>
  <c r="AB20" i="2"/>
  <c r="AA20" i="2"/>
  <c r="AC19" i="2"/>
  <c r="AB19" i="2"/>
  <c r="AA19" i="2"/>
  <c r="AC18" i="2"/>
  <c r="AB18" i="2"/>
  <c r="AA18" i="2"/>
  <c r="AC17" i="2"/>
  <c r="AB17" i="2"/>
  <c r="AA17" i="2"/>
  <c r="AC16" i="2"/>
  <c r="AB16" i="2"/>
  <c r="AA16" i="2"/>
  <c r="AC15" i="2"/>
  <c r="AB15" i="2"/>
  <c r="AA15" i="2"/>
  <c r="AC14" i="2"/>
  <c r="AB14" i="2"/>
  <c r="AA14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C9" i="2"/>
  <c r="AB9" i="2"/>
  <c r="AA9" i="2"/>
  <c r="AC8" i="2"/>
  <c r="AB8" i="2"/>
  <c r="AA8" i="2"/>
  <c r="AC7" i="2"/>
  <c r="AB7" i="2"/>
  <c r="AA7" i="2"/>
  <c r="AC6" i="2"/>
  <c r="AB6" i="2"/>
  <c r="AA6" i="2"/>
  <c r="D6" i="2"/>
  <c r="B6" i="2"/>
  <c r="B7" i="2" s="1"/>
  <c r="AC5" i="2"/>
  <c r="AB5" i="2"/>
  <c r="AA5" i="2"/>
  <c r="E5" i="2"/>
  <c r="D5" i="2"/>
  <c r="C5" i="2"/>
  <c r="B28" i="1"/>
  <c r="B27" i="1"/>
  <c r="B26" i="1"/>
  <c r="B25" i="1"/>
  <c r="B24" i="1"/>
  <c r="B23" i="1"/>
  <c r="B22" i="1"/>
  <c r="B21" i="1"/>
  <c r="E7" i="2" l="1"/>
  <c r="D7" i="2"/>
  <c r="B8" i="2"/>
  <c r="C7" i="2"/>
  <c r="E6" i="2"/>
  <c r="C6" i="2"/>
  <c r="D8" i="2" l="1"/>
  <c r="B9" i="2"/>
  <c r="C8" i="2"/>
  <c r="E8" i="2"/>
  <c r="E9" i="2" l="1"/>
  <c r="B10" i="2"/>
  <c r="C9" i="2"/>
  <c r="D9" i="2"/>
  <c r="E10" i="2" l="1"/>
  <c r="D10" i="2"/>
  <c r="B11" i="2"/>
  <c r="C10" i="2"/>
  <c r="D11" i="2" l="1"/>
  <c r="B12" i="2"/>
  <c r="C11" i="2"/>
  <c r="E11" i="2"/>
  <c r="B13" i="2" l="1"/>
  <c r="C12" i="2"/>
  <c r="E12" i="2"/>
  <c r="D12" i="2"/>
  <c r="E13" i="2" l="1"/>
  <c r="D13" i="2"/>
  <c r="B14" i="2"/>
  <c r="C13" i="2"/>
  <c r="E14" i="2" l="1"/>
  <c r="D14" i="2"/>
  <c r="B15" i="2"/>
  <c r="C14" i="2"/>
  <c r="E15" i="2" l="1"/>
  <c r="D15" i="2"/>
  <c r="B16" i="2"/>
  <c r="C15" i="2"/>
  <c r="E16" i="2" l="1"/>
  <c r="D16" i="2"/>
  <c r="B17" i="2"/>
  <c r="C16" i="2"/>
  <c r="D17" i="2" l="1"/>
  <c r="B18" i="2"/>
  <c r="C17" i="2"/>
  <c r="E17" i="2"/>
  <c r="B19" i="2" l="1"/>
  <c r="C18" i="2"/>
  <c r="E18" i="2"/>
  <c r="D18" i="2"/>
  <c r="E19" i="2" l="1"/>
  <c r="D19" i="2"/>
  <c r="B20" i="2"/>
  <c r="C19" i="2"/>
  <c r="E20" i="2" l="1"/>
  <c r="D20" i="2"/>
  <c r="B21" i="2"/>
  <c r="C20" i="2"/>
  <c r="E21" i="2" l="1"/>
  <c r="D21" i="2"/>
  <c r="B22" i="2"/>
  <c r="C21" i="2"/>
  <c r="E22" i="2" l="1"/>
  <c r="D22" i="2"/>
  <c r="B23" i="2"/>
  <c r="C22" i="2"/>
  <c r="D23" i="2" l="1"/>
  <c r="B24" i="2"/>
  <c r="C23" i="2"/>
  <c r="E23" i="2"/>
  <c r="B25" i="2" l="1"/>
  <c r="C24" i="2"/>
  <c r="D24" i="2"/>
  <c r="E24" i="2"/>
  <c r="E25" i="2" l="1"/>
  <c r="B26" i="2"/>
  <c r="C25" i="2"/>
  <c r="D25" i="2"/>
  <c r="E26" i="2" l="1"/>
  <c r="D26" i="2"/>
  <c r="B27" i="2"/>
  <c r="C26" i="2"/>
  <c r="E27" i="2" l="1"/>
  <c r="D27" i="2"/>
  <c r="B28" i="2"/>
  <c r="C27" i="2"/>
  <c r="E28" i="2" l="1"/>
  <c r="D28" i="2"/>
  <c r="B29" i="2"/>
  <c r="C28" i="2"/>
  <c r="D29" i="2" l="1"/>
  <c r="B30" i="2"/>
  <c r="C29" i="2"/>
  <c r="E29" i="2"/>
  <c r="B31" i="2" l="1"/>
  <c r="C30" i="2"/>
  <c r="E30" i="2"/>
  <c r="D30" i="2"/>
  <c r="E31" i="2" l="1"/>
  <c r="D31" i="2"/>
  <c r="B32" i="2"/>
  <c r="C31" i="2"/>
  <c r="E32" i="2" l="1"/>
  <c r="D32" i="2"/>
  <c r="B33" i="2"/>
  <c r="C32" i="2"/>
  <c r="E33" i="2" l="1"/>
  <c r="D33" i="2"/>
  <c r="B34" i="2"/>
  <c r="C33" i="2"/>
  <c r="E34" i="2" l="1"/>
  <c r="D34" i="2"/>
  <c r="B35" i="2"/>
  <c r="C34" i="2"/>
  <c r="D35" i="2" l="1"/>
  <c r="B36" i="2"/>
  <c r="C35" i="2"/>
  <c r="E35" i="2"/>
  <c r="B37" i="2" l="1"/>
  <c r="C36" i="2"/>
  <c r="E36" i="2"/>
  <c r="D36" i="2"/>
  <c r="E37" i="2" l="1"/>
  <c r="D37" i="2"/>
  <c r="B38" i="2"/>
  <c r="C37" i="2"/>
  <c r="E38" i="2" l="1"/>
  <c r="D38" i="2"/>
  <c r="B39" i="2"/>
  <c r="C38" i="2"/>
  <c r="E39" i="2" l="1"/>
  <c r="D39" i="2"/>
  <c r="B40" i="2"/>
  <c r="C39" i="2"/>
  <c r="E40" i="2" l="1"/>
  <c r="D40" i="2"/>
  <c r="B41" i="2"/>
  <c r="C40" i="2"/>
  <c r="D41" i="2" l="1"/>
  <c r="B42" i="2"/>
  <c r="C41" i="2"/>
  <c r="E41" i="2"/>
  <c r="B43" i="2" l="1"/>
  <c r="C42" i="2"/>
  <c r="E42" i="2"/>
  <c r="D42" i="2"/>
  <c r="E43" i="2" l="1"/>
  <c r="D43" i="2"/>
  <c r="C43" i="2"/>
</calcChain>
</file>

<file path=xl/sharedStrings.xml><?xml version="1.0" encoding="utf-8"?>
<sst xmlns="http://schemas.openxmlformats.org/spreadsheetml/2006/main" count="107" uniqueCount="91">
  <si>
    <t>핵심 목표</t>
  </si>
  <si>
    <t>항목</t>
  </si>
  <si>
    <t>목표</t>
  </si>
  <si>
    <r>
      <rPr>
        <b/>
        <sz val="11"/>
        <color rgb="FFFFFFFF"/>
        <rFont val="Noto Sans CJK SC"/>
        <family val="2"/>
      </rPr>
      <t>마감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기준일</t>
    </r>
  </si>
  <si>
    <t>다이어트</t>
  </si>
  <si>
    <r>
      <rPr>
        <sz val="11"/>
        <color rgb="FF000000"/>
        <rFont val="Noto Sans CJK SC"/>
        <family val="2"/>
      </rPr>
      <t xml:space="preserve">체중 </t>
    </r>
    <r>
      <rPr>
        <sz val="11"/>
        <color rgb="FF000000"/>
        <rFont val="Arial"/>
        <family val="2"/>
      </rPr>
      <t>92kg → 75kg</t>
    </r>
  </si>
  <si>
    <t>2026-12-31</t>
  </si>
  <si>
    <r>
      <rPr>
        <b/>
        <sz val="11"/>
        <rFont val="Noto Sans CJK SC"/>
        <family val="2"/>
      </rPr>
      <t xml:space="preserve">일본어 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차</t>
    </r>
  </si>
  <si>
    <r>
      <rPr>
        <sz val="11"/>
        <color rgb="FF000000"/>
        <rFont val="Arial"/>
        <family val="2"/>
      </rPr>
      <t xml:space="preserve">JLPT N3 </t>
    </r>
    <r>
      <rPr>
        <sz val="11"/>
        <color rgb="FF000000"/>
        <rFont val="Noto Sans CJK SC"/>
        <family val="2"/>
      </rPr>
      <t>합격</t>
    </r>
  </si>
  <si>
    <r>
      <rPr>
        <sz val="11"/>
        <color rgb="FF000000"/>
        <rFont val="Arial"/>
        <family val="2"/>
      </rPr>
      <t>2026-12-06 (</t>
    </r>
    <r>
      <rPr>
        <sz val="11"/>
        <color rgb="FF000000"/>
        <rFont val="Noto Sans CJK SC"/>
        <family val="2"/>
      </rPr>
      <t>시험일</t>
    </r>
    <r>
      <rPr>
        <sz val="11"/>
        <color rgb="FF000000"/>
        <rFont val="Arial"/>
        <family val="2"/>
      </rPr>
      <t>)</t>
    </r>
  </si>
  <si>
    <r>
      <rPr>
        <b/>
        <sz val="11"/>
        <rFont val="Noto Sans CJK SC"/>
        <family val="2"/>
      </rPr>
      <t xml:space="preserve">일본어 </t>
    </r>
    <r>
      <rPr>
        <b/>
        <sz val="11"/>
        <rFont val="Arial"/>
        <family val="2"/>
      </rPr>
      <t>2</t>
    </r>
    <r>
      <rPr>
        <b/>
        <sz val="11"/>
        <rFont val="Noto Sans CJK SC"/>
        <family val="2"/>
      </rPr>
      <t>차</t>
    </r>
  </si>
  <si>
    <r>
      <rPr>
        <sz val="11"/>
        <color rgb="FF000000"/>
        <rFont val="Arial"/>
        <family val="2"/>
      </rPr>
      <t>BJT 400</t>
    </r>
    <r>
      <rPr>
        <sz val="11"/>
        <color rgb="FF000000"/>
        <rFont val="Noto Sans CJK SC"/>
        <family val="2"/>
      </rPr>
      <t>점 이상</t>
    </r>
  </si>
  <si>
    <r>
      <rPr>
        <sz val="11"/>
        <color rgb="FF000000"/>
        <rFont val="Arial"/>
        <family val="2"/>
      </rPr>
      <t>2027</t>
    </r>
    <r>
      <rPr>
        <sz val="11"/>
        <color rgb="FF000000"/>
        <rFont val="Noto Sans CJK SC"/>
        <family val="2"/>
      </rPr>
      <t xml:space="preserve">년 </t>
    </r>
    <r>
      <rPr>
        <sz val="11"/>
        <color rgb="FF000000"/>
        <rFont val="Arial"/>
        <family val="2"/>
      </rPr>
      <t>3~4</t>
    </r>
    <r>
      <rPr>
        <sz val="11"/>
        <color rgb="FF000000"/>
        <rFont val="Noto Sans CJK SC"/>
        <family val="2"/>
      </rPr>
      <t>월 목표</t>
    </r>
  </si>
  <si>
    <t>부트캠프</t>
  </si>
  <si>
    <r>
      <rPr>
        <sz val="11"/>
        <color rgb="FF000000"/>
        <rFont val="Noto Sans CJK SC"/>
        <family val="2"/>
      </rPr>
      <t>글로벌인 일본</t>
    </r>
    <r>
      <rPr>
        <sz val="11"/>
        <color rgb="FF000000"/>
        <rFont val="Arial"/>
        <family val="2"/>
      </rPr>
      <t xml:space="preserve">IT K-MOVE </t>
    </r>
    <r>
      <rPr>
        <sz val="11"/>
        <color rgb="FF000000"/>
        <rFont val="Noto Sans CJK SC"/>
        <family val="2"/>
      </rPr>
      <t>과정 수료</t>
    </r>
  </si>
  <si>
    <t>2026-10-29 ~ 2027-03-30</t>
  </si>
  <si>
    <t>최종 목표</t>
  </si>
  <si>
    <r>
      <rPr>
        <sz val="11"/>
        <color rgb="FF000000"/>
        <rFont val="Noto Sans CJK SC"/>
        <family val="2"/>
      </rPr>
      <t xml:space="preserve">일본 </t>
    </r>
    <r>
      <rPr>
        <sz val="11"/>
        <color rgb="FF000000"/>
        <rFont val="Arial"/>
        <family val="2"/>
      </rPr>
      <t xml:space="preserve">IT </t>
    </r>
    <r>
      <rPr>
        <sz val="11"/>
        <color rgb="FF000000"/>
        <rFont val="Noto Sans CJK SC"/>
        <family val="2"/>
      </rPr>
      <t xml:space="preserve">기업 취업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비자 취득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</si>
  <si>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Arial"/>
        <family val="2"/>
      </rPr>
      <t>2027</t>
    </r>
    <r>
      <rPr>
        <sz val="11"/>
        <color rgb="FF000000"/>
        <rFont val="Noto Sans CJK SC"/>
        <family val="2"/>
      </rPr>
      <t>년 내</t>
    </r>
  </si>
  <si>
    <r>
      <rPr>
        <b/>
        <sz val="12"/>
        <color rgb="FFFFFFFF"/>
        <rFont val="Noto Sans CJK SC"/>
        <family val="2"/>
      </rPr>
      <t xml:space="preserve">설정값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Noto Sans CJK SC"/>
        <family val="2"/>
      </rPr>
      <t xml:space="preserve">필요시 수정 가능 </t>
    </r>
    <r>
      <rPr>
        <b/>
        <sz val="12"/>
        <color rgb="FFFFFFFF"/>
        <rFont val="Arial"/>
        <family val="2"/>
      </rPr>
      <t xml:space="preserve">- </t>
    </r>
    <r>
      <rPr>
        <b/>
        <sz val="12"/>
        <color rgb="FFFFFFFF"/>
        <rFont val="Noto Sans CJK SC"/>
        <family val="2"/>
      </rPr>
      <t>파란 글씨만 수정</t>
    </r>
    <r>
      <rPr>
        <b/>
        <sz val="12"/>
        <color rgb="FFFFFFFF"/>
        <rFont val="Arial"/>
        <family val="2"/>
      </rPr>
      <t>)</t>
    </r>
  </si>
  <si>
    <t>트래커 시작일</t>
  </si>
  <si>
    <t>부트캠프 시작일</t>
  </si>
  <si>
    <t>부트캠프 종료일</t>
  </si>
  <si>
    <r>
      <rPr>
        <b/>
        <sz val="11"/>
        <rFont val="Arial"/>
        <family val="2"/>
      </rPr>
      <t xml:space="preserve">JLPT </t>
    </r>
    <r>
      <rPr>
        <b/>
        <sz val="11"/>
        <rFont val="Noto Sans CJK SC"/>
        <family val="2"/>
      </rPr>
      <t>시험일</t>
    </r>
  </si>
  <si>
    <t>다이어트 목표일</t>
  </si>
  <si>
    <r>
      <rPr>
        <b/>
        <sz val="11"/>
        <rFont val="Noto Sans CJK SC"/>
        <family val="2"/>
      </rPr>
      <t>시작 체중</t>
    </r>
    <r>
      <rPr>
        <b/>
        <sz val="11"/>
        <rFont val="Arial"/>
        <family val="2"/>
      </rPr>
      <t>(kg)</t>
    </r>
  </si>
  <si>
    <r>
      <rPr>
        <b/>
        <sz val="11"/>
        <rFont val="Noto Sans CJK SC"/>
        <family val="2"/>
      </rPr>
      <t>목표 체중</t>
    </r>
    <r>
      <rPr>
        <b/>
        <sz val="11"/>
        <rFont val="Arial"/>
        <family val="2"/>
      </rPr>
      <t>(kg)</t>
    </r>
  </si>
  <si>
    <r>
      <rPr>
        <b/>
        <sz val="12"/>
        <color rgb="FFFFFFFF"/>
        <rFont val="Noto Sans CJK SC"/>
        <family val="2"/>
      </rPr>
      <t xml:space="preserve">진행 현황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Noto Sans CJK SC"/>
        <family val="2"/>
      </rPr>
      <t>자동 계산</t>
    </r>
    <r>
      <rPr>
        <b/>
        <sz val="12"/>
        <color rgb="FFFFFFFF"/>
        <rFont val="Arial"/>
        <family val="2"/>
      </rPr>
      <t>)</t>
    </r>
  </si>
  <si>
    <t>오늘 날짜</t>
  </si>
  <si>
    <t>경과 주차</t>
  </si>
  <si>
    <t>현재 단계</t>
  </si>
  <si>
    <r>
      <rPr>
        <b/>
        <sz val="11"/>
        <rFont val="Noto Sans CJK SC"/>
        <family val="2"/>
      </rPr>
      <t>이번주 목표체중</t>
    </r>
    <r>
      <rPr>
        <b/>
        <sz val="11"/>
        <rFont val="Arial"/>
        <family val="2"/>
      </rPr>
      <t>(kg)</t>
    </r>
  </si>
  <si>
    <r>
      <rPr>
        <b/>
        <sz val="11"/>
        <rFont val="Noto Sans CJK SC"/>
        <family val="2"/>
      </rPr>
      <t>일본어 누적 달성일수</t>
    </r>
    <r>
      <rPr>
        <b/>
        <sz val="11"/>
        <rFont val="Arial"/>
        <family val="2"/>
      </rPr>
      <t>(O)</t>
    </r>
  </si>
  <si>
    <r>
      <rPr>
        <b/>
        <sz val="11"/>
        <rFont val="Noto Sans CJK SC"/>
        <family val="2"/>
      </rPr>
      <t>자바</t>
    </r>
    <r>
      <rPr>
        <b/>
        <sz val="11"/>
        <rFont val="Arial"/>
        <family val="2"/>
      </rPr>
      <t>/</t>
    </r>
    <r>
      <rPr>
        <b/>
        <sz val="11"/>
        <rFont val="Noto Sans CJK SC"/>
        <family val="2"/>
      </rPr>
      <t>부트캠프 누적 달성일수</t>
    </r>
    <r>
      <rPr>
        <b/>
        <sz val="11"/>
        <rFont val="Arial"/>
        <family val="2"/>
      </rPr>
      <t>(O)</t>
    </r>
  </si>
  <si>
    <r>
      <rPr>
        <b/>
        <sz val="11"/>
        <rFont val="Noto Sans CJK SC"/>
        <family val="2"/>
      </rPr>
      <t>운동 누적 달성일수</t>
    </r>
    <r>
      <rPr>
        <b/>
        <sz val="11"/>
        <rFont val="Arial"/>
        <family val="2"/>
      </rPr>
      <t>(O)</t>
    </r>
  </si>
  <si>
    <t>체중 기록 횟수</t>
  </si>
  <si>
    <t>사용법</t>
  </si>
  <si>
    <r>
      <rPr>
        <i/>
        <sz val="10"/>
        <rFont val="Arial"/>
        <family val="2"/>
      </rPr>
      <t>1) '</t>
    </r>
    <r>
      <rPr>
        <i/>
        <sz val="10"/>
        <rFont val="Noto Sans CJK SC"/>
        <family val="2"/>
      </rPr>
      <t>주간체크리스트</t>
    </r>
    <r>
      <rPr>
        <i/>
        <sz val="10"/>
        <rFont val="Arial"/>
        <family val="2"/>
      </rPr>
      <t xml:space="preserve">' </t>
    </r>
    <r>
      <rPr>
        <i/>
        <sz val="10"/>
        <rFont val="Noto Sans CJK SC"/>
        <family val="2"/>
      </rPr>
      <t>시트에서 매일 최소 기준</t>
    </r>
    <r>
      <rPr>
        <i/>
        <sz val="10"/>
        <rFont val="Arial"/>
        <family val="2"/>
      </rPr>
      <t>(</t>
    </r>
    <r>
      <rPr>
        <i/>
        <sz val="10"/>
        <rFont val="Noto Sans CJK SC"/>
        <family val="2"/>
      </rPr>
      <t xml:space="preserve">일본어 </t>
    </r>
    <r>
      <rPr>
        <i/>
        <sz val="10"/>
        <rFont val="Arial"/>
        <family val="2"/>
      </rPr>
      <t>30</t>
    </r>
    <r>
      <rPr>
        <i/>
        <sz val="10"/>
        <rFont val="Noto Sans CJK SC"/>
        <family val="2"/>
      </rPr>
      <t xml:space="preserve">분 </t>
    </r>
    <r>
      <rPr>
        <i/>
        <sz val="10"/>
        <rFont val="Arial"/>
        <family val="2"/>
      </rPr>
      <t xml:space="preserve">/ </t>
    </r>
    <r>
      <rPr>
        <i/>
        <sz val="10"/>
        <rFont val="Noto Sans CJK SC"/>
        <family val="2"/>
      </rPr>
      <t>자바</t>
    </r>
    <r>
      <rPr>
        <i/>
        <sz val="10"/>
        <rFont val="Arial"/>
        <family val="2"/>
      </rPr>
      <t>-</t>
    </r>
    <r>
      <rPr>
        <i/>
        <sz val="10"/>
        <rFont val="Noto Sans CJK SC"/>
        <family val="2"/>
      </rPr>
      <t xml:space="preserve">부트캠프 </t>
    </r>
    <r>
      <rPr>
        <i/>
        <sz val="10"/>
        <rFont val="Arial"/>
        <family val="2"/>
      </rPr>
      <t>30</t>
    </r>
    <r>
      <rPr>
        <i/>
        <sz val="10"/>
        <rFont val="Noto Sans CJK SC"/>
        <family val="2"/>
      </rPr>
      <t xml:space="preserve">분 </t>
    </r>
    <r>
      <rPr>
        <i/>
        <sz val="10"/>
        <rFont val="Arial"/>
        <family val="2"/>
      </rPr>
      <t xml:space="preserve">/ </t>
    </r>
    <r>
      <rPr>
        <i/>
        <sz val="10"/>
        <rFont val="Noto Sans CJK SC"/>
        <family val="2"/>
      </rPr>
      <t xml:space="preserve">운동 </t>
    </r>
    <r>
      <rPr>
        <i/>
        <sz val="10"/>
        <rFont val="Arial"/>
        <family val="2"/>
      </rPr>
      <t>10</t>
    </r>
    <r>
      <rPr>
        <i/>
        <sz val="10"/>
        <rFont val="Noto Sans CJK SC"/>
        <family val="2"/>
      </rPr>
      <t>분</t>
    </r>
    <r>
      <rPr>
        <i/>
        <sz val="10"/>
        <rFont val="Arial"/>
        <family val="2"/>
      </rPr>
      <t>)</t>
    </r>
    <r>
      <rPr>
        <i/>
        <sz val="10"/>
        <rFont val="Noto Sans CJK SC"/>
        <family val="2"/>
      </rPr>
      <t xml:space="preserve">을 지킨 날에 해당 요일 칸에 </t>
    </r>
    <r>
      <rPr>
        <i/>
        <sz val="10"/>
        <rFont val="Arial"/>
        <family val="2"/>
      </rPr>
      <t>'O'</t>
    </r>
    <r>
      <rPr>
        <i/>
        <sz val="10"/>
        <rFont val="Noto Sans CJK SC"/>
        <family val="2"/>
      </rPr>
      <t>를 입력하세요</t>
    </r>
    <r>
      <rPr>
        <i/>
        <sz val="10"/>
        <rFont val="Arial"/>
        <family val="2"/>
      </rPr>
      <t>.</t>
    </r>
  </si>
  <si>
    <r>
      <rPr>
        <i/>
        <sz val="10"/>
        <rFont val="Arial"/>
        <family val="2"/>
      </rPr>
      <t xml:space="preserve">2) </t>
    </r>
    <r>
      <rPr>
        <i/>
        <sz val="10"/>
        <rFont val="Noto Sans CJK SC"/>
        <family val="2"/>
      </rPr>
      <t xml:space="preserve">매주 한 번 체중을 재고 </t>
    </r>
    <r>
      <rPr>
        <i/>
        <sz val="10"/>
        <rFont val="Arial"/>
        <family val="2"/>
      </rPr>
      <t>'</t>
    </r>
    <r>
      <rPr>
        <i/>
        <sz val="10"/>
        <rFont val="Noto Sans CJK SC"/>
        <family val="2"/>
      </rPr>
      <t>실측 체중</t>
    </r>
    <r>
      <rPr>
        <i/>
        <sz val="10"/>
        <rFont val="Arial"/>
        <family val="2"/>
      </rPr>
      <t xml:space="preserve">(kg)' </t>
    </r>
    <r>
      <rPr>
        <i/>
        <sz val="10"/>
        <rFont val="Noto Sans CJK SC"/>
        <family val="2"/>
      </rPr>
      <t>칸에 입력하세요</t>
    </r>
    <r>
      <rPr>
        <i/>
        <sz val="10"/>
        <rFont val="Arial"/>
        <family val="2"/>
      </rPr>
      <t>. '</t>
    </r>
    <r>
      <rPr>
        <i/>
        <sz val="10"/>
        <rFont val="Noto Sans CJK SC"/>
        <family val="2"/>
      </rPr>
      <t>목표체중</t>
    </r>
    <r>
      <rPr>
        <i/>
        <sz val="10"/>
        <rFont val="Arial"/>
        <family val="2"/>
      </rPr>
      <t xml:space="preserve">' </t>
    </r>
    <r>
      <rPr>
        <i/>
        <sz val="10"/>
        <rFont val="Noto Sans CJK SC"/>
        <family val="2"/>
      </rPr>
      <t>칸과 비교하면 페이스를 알 수 있습니다</t>
    </r>
    <r>
      <rPr>
        <i/>
        <sz val="10"/>
        <rFont val="Arial"/>
        <family val="2"/>
      </rPr>
      <t>.</t>
    </r>
  </si>
  <si>
    <r>
      <rPr>
        <i/>
        <sz val="10"/>
        <rFont val="Arial"/>
        <family val="2"/>
      </rPr>
      <t xml:space="preserve">3) </t>
    </r>
    <r>
      <rPr>
        <i/>
        <sz val="10"/>
        <rFont val="Noto Sans CJK SC"/>
        <family val="2"/>
      </rPr>
      <t xml:space="preserve">위 </t>
    </r>
    <r>
      <rPr>
        <i/>
        <sz val="10"/>
        <rFont val="Arial"/>
        <family val="2"/>
      </rPr>
      <t>'</t>
    </r>
    <r>
      <rPr>
        <i/>
        <sz val="10"/>
        <rFont val="Noto Sans CJK SC"/>
        <family val="2"/>
      </rPr>
      <t>설정값</t>
    </r>
    <r>
      <rPr>
        <i/>
        <sz val="10"/>
        <rFont val="Arial"/>
        <family val="2"/>
      </rPr>
      <t>'</t>
    </r>
    <r>
      <rPr>
        <i/>
        <sz val="10"/>
        <rFont val="Noto Sans CJK SC"/>
        <family val="2"/>
      </rPr>
      <t>의 파란 글씨 날짜</t>
    </r>
    <r>
      <rPr>
        <i/>
        <sz val="10"/>
        <rFont val="Arial"/>
        <family val="2"/>
      </rPr>
      <t>/</t>
    </r>
    <r>
      <rPr>
        <i/>
        <sz val="10"/>
        <rFont val="Noto Sans CJK SC"/>
        <family val="2"/>
      </rPr>
      <t>체중을 바꾸면 전체 시트가 자동으로 재계산됩니다</t>
    </r>
    <r>
      <rPr>
        <i/>
        <sz val="10"/>
        <rFont val="Arial"/>
        <family val="2"/>
      </rPr>
      <t>.</t>
    </r>
  </si>
  <si>
    <r>
      <rPr>
        <i/>
        <sz val="10"/>
        <rFont val="Arial"/>
        <family val="2"/>
      </rPr>
      <t xml:space="preserve">4) </t>
    </r>
    <r>
      <rPr>
        <i/>
        <sz val="10"/>
        <rFont val="Noto Sans CJK SC"/>
        <family val="2"/>
      </rPr>
      <t>이 대시보드는 전체 누적 현황을 자동으로 보여줍니다</t>
    </r>
    <r>
      <rPr>
        <i/>
        <sz val="10"/>
        <rFont val="Arial"/>
        <family val="2"/>
      </rPr>
      <t xml:space="preserve">. </t>
    </r>
    <r>
      <rPr>
        <i/>
        <sz val="10"/>
        <rFont val="Noto Sans CJK SC"/>
        <family val="2"/>
      </rPr>
      <t>매일 체크만 하면 됩니다</t>
    </r>
    <r>
      <rPr>
        <i/>
        <sz val="10"/>
        <rFont val="Arial"/>
        <family val="2"/>
      </rPr>
      <t>.</t>
    </r>
  </si>
  <si>
    <r>
      <rPr>
        <b/>
        <sz val="16"/>
        <color rgb="FFFFFFFF"/>
        <rFont val="Noto Sans CJK SC"/>
        <family val="2"/>
      </rPr>
      <t xml:space="preserve">주간 체크리스트  </t>
    </r>
    <r>
      <rPr>
        <b/>
        <sz val="16"/>
        <color rgb="FFFFFFFF"/>
        <rFont val="Arial"/>
        <family val="2"/>
      </rPr>
      <t xml:space="preserve">-  </t>
    </r>
    <r>
      <rPr>
        <b/>
        <sz val="16"/>
        <color rgb="FFFFFFFF"/>
        <rFont val="Noto Sans CJK SC"/>
        <family val="2"/>
      </rPr>
      <t xml:space="preserve">매일 최소 기준을 지킨 날에 </t>
    </r>
    <r>
      <rPr>
        <b/>
        <sz val="16"/>
        <color rgb="FFFFFFFF"/>
        <rFont val="Arial"/>
        <family val="2"/>
      </rPr>
      <t xml:space="preserve">'O' </t>
    </r>
    <r>
      <rPr>
        <b/>
        <sz val="16"/>
        <color rgb="FFFFFFFF"/>
        <rFont val="Noto Sans CJK SC"/>
        <family val="2"/>
      </rPr>
      <t>입력</t>
    </r>
  </si>
  <si>
    <t>주차</t>
  </si>
  <si>
    <r>
      <rPr>
        <b/>
        <sz val="11"/>
        <color rgb="FFFFFFFF"/>
        <rFont val="Noto Sans CJK SC"/>
        <family val="2"/>
      </rPr>
      <t>시작일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월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</si>
  <si>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>종료일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Arial"/>
        <family val="2"/>
      </rPr>
      <t>)</t>
    </r>
  </si>
  <si>
    <t>단계</t>
  </si>
  <si>
    <r>
      <rPr>
        <b/>
        <sz val="11"/>
        <color rgb="FFFFFFFF"/>
        <rFont val="Noto Sans CJK SC"/>
        <family val="2"/>
      </rPr>
      <t>목표체중</t>
    </r>
    <r>
      <rPr>
        <b/>
        <sz val="11"/>
        <color rgb="FFFFFFFF"/>
        <rFont val="Arial"/>
        <family val="2"/>
      </rPr>
      <t>(kg)</t>
    </r>
  </si>
  <si>
    <r>
      <rPr>
        <b/>
        <sz val="11"/>
        <color rgb="FFFFFFFF"/>
        <rFont val="Noto Sans CJK SC"/>
        <family val="2"/>
      </rPr>
      <t xml:space="preserve">일본어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 xml:space="preserve">최소 </t>
    </r>
    <r>
      <rPr>
        <b/>
        <sz val="11"/>
        <color rgb="FFFFFFFF"/>
        <rFont val="Arial"/>
        <family val="2"/>
      </rPr>
      <t>30</t>
    </r>
    <r>
      <rPr>
        <b/>
        <sz val="11"/>
        <color rgb="FFFFFFFF"/>
        <rFont val="Noto Sans CJK SC"/>
        <family val="2"/>
      </rPr>
      <t>분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</si>
  <si>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자바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Noto Sans CJK SC"/>
        <family val="2"/>
      </rPr>
      <t xml:space="preserve">부트캠프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 xml:space="preserve">최소 </t>
    </r>
    <r>
      <rPr>
        <b/>
        <sz val="11"/>
        <color rgb="FFFFFFFF"/>
        <rFont val="Arial"/>
        <family val="2"/>
      </rPr>
      <t>30</t>
    </r>
    <r>
      <rPr>
        <b/>
        <sz val="11"/>
        <color rgb="FFFFFFFF"/>
        <rFont val="Noto Sans CJK SC"/>
        <family val="2"/>
      </rPr>
      <t>분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</si>
  <si>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운동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 xml:space="preserve">최소 </t>
    </r>
    <r>
      <rPr>
        <b/>
        <sz val="11"/>
        <color rgb="FFFFFFFF"/>
        <rFont val="Arial"/>
        <family val="2"/>
      </rPr>
      <t>10</t>
    </r>
    <r>
      <rPr>
        <b/>
        <sz val="11"/>
        <color rgb="FFFFFFFF"/>
        <rFont val="Noto Sans CJK SC"/>
        <family val="2"/>
      </rPr>
      <t>분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Arial"/>
        <family val="2"/>
      </rPr>
      <t>)</t>
    </r>
  </si>
  <si>
    <t>일본어
달성일수</t>
  </si>
  <si>
    <t>자바
달성일수</t>
  </si>
  <si>
    <t>운동
달성일수</t>
  </si>
  <si>
    <r>
      <rPr>
        <b/>
        <sz val="11"/>
        <color rgb="FFFFFFFF"/>
        <rFont val="Noto Sans CJK SC"/>
        <family val="2"/>
      </rPr>
      <t>실측체중</t>
    </r>
    <r>
      <rPr>
        <b/>
        <sz val="11"/>
        <color rgb="FFFFFFFF"/>
        <rFont val="Arial"/>
        <family val="2"/>
      </rPr>
      <t>(kg)</t>
    </r>
  </si>
  <si>
    <t>메모</t>
  </si>
  <si>
    <t>월</t>
  </si>
  <si>
    <t>화</t>
  </si>
  <si>
    <t>수</t>
  </si>
  <si>
    <t>목</t>
  </si>
  <si>
    <t>금</t>
  </si>
  <si>
    <t>토</t>
  </si>
  <si>
    <t>일</t>
  </si>
  <si>
    <r>
      <rPr>
        <b/>
        <sz val="16"/>
        <color rgb="FFFFFFFF"/>
        <rFont val="Noto Sans CJK SC"/>
        <family val="2"/>
      </rPr>
      <t xml:space="preserve">월간 마일스톤 </t>
    </r>
    <r>
      <rPr>
        <b/>
        <sz val="16"/>
        <color rgb="FFFFFFFF"/>
        <rFont val="Arial"/>
        <family val="2"/>
      </rPr>
      <t>(</t>
    </r>
    <r>
      <rPr>
        <b/>
        <sz val="16"/>
        <color rgb="FFFFFFFF"/>
        <rFont val="Noto Sans CJK SC"/>
        <family val="2"/>
      </rPr>
      <t>참고용 로드맵</t>
    </r>
    <r>
      <rPr>
        <b/>
        <sz val="16"/>
        <color rgb="FFFFFFFF"/>
        <rFont val="Arial"/>
        <family val="2"/>
      </rPr>
      <t>)</t>
    </r>
  </si>
  <si>
    <t>기간</t>
  </si>
  <si>
    <t>세부 내용</t>
  </si>
  <si>
    <t>2026.07.26 ~ 10.28</t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</si>
  <si>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단계</t>
    </r>
    <r>
      <rPr>
        <sz val="11"/>
        <color rgb="FF000000"/>
        <rFont val="Arial"/>
        <family val="2"/>
      </rPr>
      <t xml:space="preserve">: </t>
    </r>
    <r>
      <rPr>
        <sz val="11"/>
        <color rgb="FF000000"/>
        <rFont val="Noto Sans CJK SC"/>
        <family val="2"/>
      </rPr>
      <t>일본어 집중 준비</t>
    </r>
  </si>
  <si>
    <r>
      <rPr>
        <b/>
        <sz val="11"/>
        <rFont val="Arial"/>
        <family val="2"/>
      </rPr>
      <t xml:space="preserve">JLPT N3 </t>
    </r>
    <r>
      <rPr>
        <b/>
        <sz val="11"/>
        <rFont val="Noto Sans CJK SC"/>
        <family val="2"/>
      </rPr>
      <t xml:space="preserve">합격 수준 확보 </t>
    </r>
    <r>
      <rPr>
        <b/>
        <sz val="11"/>
        <rFont val="Arial"/>
        <family val="2"/>
      </rPr>
      <t xml:space="preserve">+ </t>
    </r>
    <r>
      <rPr>
        <b/>
        <sz val="11"/>
        <rFont val="Noto Sans CJK SC"/>
        <family val="2"/>
      </rPr>
      <t xml:space="preserve">자바 기초 훑기 </t>
    </r>
    <r>
      <rPr>
        <b/>
        <sz val="11"/>
        <rFont val="Arial"/>
        <family val="2"/>
      </rPr>
      <t xml:space="preserve">+ </t>
    </r>
    <r>
      <rPr>
        <b/>
        <sz val="11"/>
        <rFont val="Noto Sans CJK SC"/>
        <family val="2"/>
      </rPr>
      <t>다이어트 시작</t>
    </r>
  </si>
  <si>
    <r>
      <rPr>
        <sz val="11"/>
        <color rgb="FF000000"/>
        <rFont val="Noto Sans CJK SC"/>
        <family val="2"/>
      </rPr>
      <t xml:space="preserve">매일 일본어 </t>
    </r>
    <r>
      <rPr>
        <sz val="11"/>
        <color rgb="FF000000"/>
        <rFont val="Arial"/>
        <family val="2"/>
      </rPr>
      <t>2~3</t>
    </r>
    <r>
      <rPr>
        <sz val="11"/>
        <color rgb="FF000000"/>
        <rFont val="Noto Sans CJK SC"/>
        <family val="2"/>
      </rPr>
      <t>시간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문법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어휘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청해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독해</t>
    </r>
    <r>
      <rPr>
        <sz val="11"/>
        <color rgb="FF000000"/>
        <rFont val="Arial"/>
        <family val="2"/>
      </rPr>
      <t xml:space="preserve">), </t>
    </r>
    <r>
      <rPr>
        <sz val="11"/>
        <color rgb="FF000000"/>
        <rFont val="Noto Sans CJK SC"/>
        <family val="2"/>
      </rPr>
      <t xml:space="preserve">자바 문법 하루 </t>
    </r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시간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식단 조절</t>
    </r>
    <r>
      <rPr>
        <sz val="11"/>
        <color rgb="FF000000"/>
        <rFont val="Arial"/>
        <family val="2"/>
      </rPr>
      <t>+</t>
    </r>
    <r>
      <rPr>
        <sz val="11"/>
        <color rgb="FF000000"/>
        <rFont val="Noto Sans CJK SC"/>
        <family val="2"/>
      </rPr>
      <t>유산소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통학길 활용</t>
    </r>
    <r>
      <rPr>
        <sz val="11"/>
        <color rgb="FF000000"/>
        <rFont val="Arial"/>
        <family val="2"/>
      </rPr>
      <t>), 9</t>
    </r>
    <r>
      <rPr>
        <sz val="11"/>
        <color rgb="FF000000"/>
        <rFont val="Noto Sans CJK SC"/>
        <family val="2"/>
      </rPr>
      <t xml:space="preserve">월초 </t>
    </r>
    <r>
      <rPr>
        <sz val="11"/>
        <color rgb="FF000000"/>
        <rFont val="Arial"/>
        <family val="2"/>
      </rPr>
      <t xml:space="preserve">N3 </t>
    </r>
    <r>
      <rPr>
        <sz val="11"/>
        <color rgb="FF000000"/>
        <rFont val="Noto Sans CJK SC"/>
        <family val="2"/>
      </rPr>
      <t>모의고사로 자가진단</t>
    </r>
  </si>
  <si>
    <t>2026.10.29 ~ 2026.12.06</t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</si>
  <si>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단계 마무리</t>
    </r>
  </si>
  <si>
    <r>
      <rPr>
        <b/>
        <sz val="11"/>
        <rFont val="Arial"/>
        <family val="2"/>
      </rPr>
      <t xml:space="preserve">JLPT N3 </t>
    </r>
    <r>
      <rPr>
        <b/>
        <sz val="11"/>
        <rFont val="Noto Sans CJK SC"/>
        <family val="2"/>
      </rPr>
      <t>시험 응시</t>
    </r>
  </si>
  <si>
    <r>
      <rPr>
        <sz val="11"/>
        <color rgb="FF000000"/>
        <rFont val="Noto Sans CJK SC"/>
        <family val="2"/>
      </rPr>
      <t>글로벌인 부트캠프 개강과 겹치는 구간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Noto Sans CJK SC"/>
        <family val="2"/>
      </rPr>
      <t xml:space="preserve">개강 초반 적응하면서 </t>
    </r>
    <r>
      <rPr>
        <sz val="11"/>
        <color rgb="FF000000"/>
        <rFont val="Arial"/>
        <family val="2"/>
      </rPr>
      <t xml:space="preserve">12/6 N3 </t>
    </r>
    <r>
      <rPr>
        <sz val="11"/>
        <color rgb="FF000000"/>
        <rFont val="Noto Sans CJK SC"/>
        <family val="2"/>
      </rPr>
      <t>시험 마무리 준비</t>
    </r>
  </si>
  <si>
    <t>2026.10.29 ~ 2027.03.30</t>
  </si>
  <si>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>단계</t>
    </r>
    <r>
      <rPr>
        <sz val="11"/>
        <color rgb="FF000000"/>
        <rFont val="Arial"/>
        <family val="2"/>
      </rPr>
      <t xml:space="preserve">: </t>
    </r>
    <r>
      <rPr>
        <sz val="11"/>
        <color rgb="FF000000"/>
        <rFont val="Noto Sans CJK SC"/>
        <family val="2"/>
      </rPr>
      <t>부트캠프 병행</t>
    </r>
  </si>
  <si>
    <r>
      <rPr>
        <b/>
        <sz val="11"/>
        <rFont val="Noto Sans CJK SC"/>
        <family val="2"/>
      </rPr>
      <t>자바 웹개발</t>
    </r>
    <r>
      <rPr>
        <b/>
        <sz val="11"/>
        <rFont val="Arial"/>
        <family val="2"/>
      </rPr>
      <t xml:space="preserve">(Spring/DB) </t>
    </r>
    <r>
      <rPr>
        <b/>
        <sz val="11"/>
        <rFont val="Noto Sans CJK SC"/>
        <family val="2"/>
      </rPr>
      <t xml:space="preserve">학습 </t>
    </r>
    <r>
      <rPr>
        <b/>
        <sz val="11"/>
        <rFont val="Arial"/>
        <family val="2"/>
      </rPr>
      <t xml:space="preserve">+ </t>
    </r>
    <r>
      <rPr>
        <b/>
        <sz val="11"/>
        <rFont val="Noto Sans CJK SC"/>
        <family val="2"/>
      </rPr>
      <t xml:space="preserve">비즈니스 일본어로 전환 </t>
    </r>
    <r>
      <rPr>
        <b/>
        <sz val="11"/>
        <rFont val="Arial"/>
        <family val="2"/>
      </rPr>
      <t xml:space="preserve">+ </t>
    </r>
    <r>
      <rPr>
        <b/>
        <sz val="11"/>
        <rFont val="Noto Sans CJK SC"/>
        <family val="2"/>
      </rPr>
      <t>체중 목표 도달</t>
    </r>
  </si>
  <si>
    <r>
      <rPr>
        <sz val="11"/>
        <color rgb="FF000000"/>
        <rFont val="Noto Sans CJK SC"/>
        <family val="2"/>
      </rPr>
      <t>학원 커리큘럼</t>
    </r>
    <r>
      <rPr>
        <sz val="11"/>
        <color rgb="FF000000"/>
        <rFont val="Arial"/>
        <family val="2"/>
      </rPr>
      <t xml:space="preserve">(HTML/CSS/JS-Java-JSP-Spring-DB, </t>
    </r>
    <r>
      <rPr>
        <sz val="11"/>
        <color rgb="FF000000"/>
        <rFont val="Noto Sans CJK SC"/>
        <family val="2"/>
      </rPr>
      <t>비즈니스 회화</t>
    </r>
    <r>
      <rPr>
        <sz val="11"/>
        <color rgb="FF000000"/>
        <rFont val="Arial"/>
        <family val="2"/>
      </rPr>
      <t>-IT</t>
    </r>
    <r>
      <rPr>
        <sz val="11"/>
        <color rgb="FF000000"/>
        <rFont val="Noto Sans CJK SC"/>
        <family val="2"/>
      </rPr>
      <t>일본어</t>
    </r>
    <r>
      <rPr>
        <sz val="11"/>
        <color rgb="FF000000"/>
        <rFont val="Arial"/>
        <family val="2"/>
      </rPr>
      <t>-</t>
    </r>
    <r>
      <rPr>
        <sz val="11"/>
        <color rgb="FF000000"/>
        <rFont val="Noto Sans CJK SC"/>
        <family val="2"/>
      </rPr>
      <t>면접일본어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Noto Sans CJK SC"/>
        <family val="2"/>
      </rPr>
      <t>병행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개인 일본어 공부 유지모드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 xml:space="preserve">주 </t>
    </r>
    <r>
      <rPr>
        <sz val="11"/>
        <color rgb="FF000000"/>
        <rFont val="Arial"/>
        <family val="2"/>
      </rPr>
      <t>5~7</t>
    </r>
    <r>
      <rPr>
        <sz val="11"/>
        <color rgb="FF000000"/>
        <rFont val="Noto Sans CJK SC"/>
        <family val="2"/>
      </rPr>
      <t>시간</t>
    </r>
    <r>
      <rPr>
        <sz val="11"/>
        <color rgb="FF000000"/>
        <rFont val="Arial"/>
        <family val="2"/>
      </rPr>
      <t>), 12/31</t>
    </r>
    <r>
      <rPr>
        <sz val="11"/>
        <color rgb="FF000000"/>
        <rFont val="Noto Sans CJK SC"/>
        <family val="2"/>
      </rPr>
      <t xml:space="preserve">까지 </t>
    </r>
    <r>
      <rPr>
        <sz val="11"/>
        <color rgb="FF000000"/>
        <rFont val="Arial"/>
        <family val="2"/>
      </rPr>
      <t xml:space="preserve">75kg </t>
    </r>
    <r>
      <rPr>
        <sz val="11"/>
        <color rgb="FF000000"/>
        <rFont val="Noto Sans CJK SC"/>
        <family val="2"/>
      </rPr>
      <t>도달</t>
    </r>
  </si>
  <si>
    <t>2027.01 ~ 2027.02</t>
  </si>
  <si>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>단계 중반</t>
    </r>
  </si>
  <si>
    <r>
      <rPr>
        <b/>
        <sz val="11"/>
        <rFont val="Arial"/>
        <family val="2"/>
      </rPr>
      <t xml:space="preserve">BJT </t>
    </r>
    <r>
      <rPr>
        <b/>
        <sz val="11"/>
        <rFont val="Noto Sans CJK SC"/>
        <family val="2"/>
      </rPr>
      <t>예비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진단</t>
    </r>
    <r>
      <rPr>
        <b/>
        <sz val="11"/>
        <rFont val="Arial"/>
        <family val="2"/>
      </rPr>
      <t xml:space="preserve">) </t>
    </r>
    <r>
      <rPr>
        <b/>
        <sz val="11"/>
        <rFont val="Noto Sans CJK SC"/>
        <family val="2"/>
      </rPr>
      <t>응시</t>
    </r>
  </si>
  <si>
    <r>
      <rPr>
        <sz val="11"/>
        <color rgb="FF000000"/>
        <rFont val="Noto Sans CJK SC"/>
        <family val="2"/>
      </rPr>
      <t xml:space="preserve">본 시험 전 </t>
    </r>
    <r>
      <rPr>
        <sz val="11"/>
        <color rgb="FF000000"/>
        <rFont val="Arial"/>
        <family val="2"/>
      </rPr>
      <t>CBT</t>
    </r>
    <r>
      <rPr>
        <sz val="11"/>
        <color rgb="FF000000"/>
        <rFont val="Noto Sans CJK SC"/>
        <family val="2"/>
      </rPr>
      <t xml:space="preserve">로 가볍게 응시해 부족한 파트 파악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 xml:space="preserve">재응시는 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개월 뒤 가능하므로 일정 고려</t>
    </r>
    <r>
      <rPr>
        <sz val="11"/>
        <color rgb="FF000000"/>
        <rFont val="Arial"/>
        <family val="2"/>
      </rPr>
      <t>)</t>
    </r>
  </si>
  <si>
    <t>2027.03 ~ 2027.04</t>
  </si>
  <si>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단계</t>
    </r>
    <r>
      <rPr>
        <sz val="11"/>
        <color rgb="FF000000"/>
        <rFont val="Arial"/>
        <family val="2"/>
      </rPr>
      <t>: BJT/</t>
    </r>
    <r>
      <rPr>
        <sz val="11"/>
        <color rgb="FF000000"/>
        <rFont val="Noto Sans CJK SC"/>
        <family val="2"/>
      </rPr>
      <t>취업 스퍼트</t>
    </r>
  </si>
  <si>
    <r>
      <rPr>
        <b/>
        <sz val="11"/>
        <rFont val="Arial"/>
        <family val="2"/>
      </rPr>
      <t>BJT 400</t>
    </r>
    <r>
      <rPr>
        <b/>
        <sz val="11"/>
        <rFont val="Noto Sans CJK SC"/>
        <family val="2"/>
      </rPr>
      <t xml:space="preserve">점 이상 </t>
    </r>
    <r>
      <rPr>
        <b/>
        <sz val="11"/>
        <rFont val="Arial"/>
        <family val="2"/>
      </rPr>
      <t xml:space="preserve">+ </t>
    </r>
    <r>
      <rPr>
        <b/>
        <sz val="11"/>
        <rFont val="Noto Sans CJK SC"/>
        <family val="2"/>
      </rPr>
      <t xml:space="preserve">포트폴리오 정리 </t>
    </r>
    <r>
      <rPr>
        <b/>
        <sz val="11"/>
        <rFont val="Arial"/>
        <family val="2"/>
      </rPr>
      <t xml:space="preserve">+ </t>
    </r>
    <r>
      <rPr>
        <b/>
        <sz val="11"/>
        <rFont val="Noto Sans CJK SC"/>
        <family val="2"/>
      </rPr>
      <t>기업 지원 시작</t>
    </r>
  </si>
  <si>
    <r>
      <rPr>
        <sz val="11"/>
        <color rgb="FF000000"/>
        <rFont val="Noto Sans CJK SC"/>
        <family val="2"/>
      </rPr>
      <t>부트캠프 수료</t>
    </r>
    <r>
      <rPr>
        <sz val="11"/>
        <color rgb="FF000000"/>
        <rFont val="Arial"/>
        <family val="2"/>
      </rPr>
      <t xml:space="preserve">(3/30) </t>
    </r>
    <r>
      <rPr>
        <sz val="11"/>
        <color rgb="FF000000"/>
        <rFont val="Noto Sans CJK SC"/>
        <family val="2"/>
      </rPr>
      <t>전후로 포트폴리오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이력서 정리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이력서에 </t>
    </r>
    <r>
      <rPr>
        <sz val="11"/>
        <color rgb="FF000000"/>
        <rFont val="Arial"/>
        <family val="2"/>
      </rPr>
      <t xml:space="preserve">N3+BJT400 </t>
    </r>
    <r>
      <rPr>
        <sz val="11"/>
        <color rgb="FF000000"/>
        <rFont val="Noto Sans CJK SC"/>
        <family val="2"/>
      </rPr>
      <t>명시</t>
    </r>
    <r>
      <rPr>
        <sz val="11"/>
        <color rgb="FF000000"/>
        <rFont val="Arial"/>
        <family val="2"/>
      </rPr>
      <t xml:space="preserve">, Green/Wantedly/LAPRAS/Daijob </t>
    </r>
    <r>
      <rPr>
        <sz val="11"/>
        <color rgb="FF000000"/>
        <rFont val="Noto Sans CJK SC"/>
        <family val="2"/>
      </rPr>
      <t>등으로 지원 시작</t>
    </r>
  </si>
  <si>
    <t>2027.04 ~</t>
  </si>
  <si>
    <r>
      <rPr>
        <sz val="11"/>
        <color rgb="FF000000"/>
        <rFont val="Arial"/>
        <family val="2"/>
      </rPr>
      <t>4</t>
    </r>
    <r>
      <rPr>
        <sz val="11"/>
        <color rgb="FF000000"/>
        <rFont val="Noto Sans CJK SC"/>
        <family val="2"/>
      </rPr>
      <t>단계</t>
    </r>
    <r>
      <rPr>
        <sz val="11"/>
        <color rgb="FF000000"/>
        <rFont val="Arial"/>
        <family val="2"/>
      </rPr>
      <t xml:space="preserve">: </t>
    </r>
    <r>
      <rPr>
        <sz val="11"/>
        <color rgb="FF000000"/>
        <rFont val="Noto Sans CJK SC"/>
        <family val="2"/>
      </rPr>
      <t>취업활동</t>
    </r>
  </si>
  <si>
    <r>
      <rPr>
        <b/>
        <sz val="11"/>
        <rFont val="Noto Sans CJK SC"/>
        <family val="2"/>
      </rPr>
      <t xml:space="preserve">일본 </t>
    </r>
    <r>
      <rPr>
        <b/>
        <sz val="11"/>
        <rFont val="Arial"/>
        <family val="2"/>
      </rPr>
      <t xml:space="preserve">IT </t>
    </r>
    <r>
      <rPr>
        <b/>
        <sz val="11"/>
        <rFont val="Noto Sans CJK SC"/>
        <family val="2"/>
      </rPr>
      <t xml:space="preserve">기업 취업 </t>
    </r>
    <r>
      <rPr>
        <b/>
        <sz val="11"/>
        <rFont val="Arial"/>
        <family val="2"/>
      </rPr>
      <t xml:space="preserve">+ </t>
    </r>
    <r>
      <rPr>
        <b/>
        <sz val="11"/>
        <rFont val="Noto Sans CJK SC"/>
        <family val="2"/>
      </rPr>
      <t>비자 절차</t>
    </r>
  </si>
  <si>
    <r>
      <rPr>
        <sz val="11"/>
        <color rgb="FF000000"/>
        <rFont val="Noto Sans CJK SC"/>
        <family val="2"/>
      </rPr>
      <t>글로벌인 기업매칭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면접 지원 활용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기술</t>
    </r>
    <r>
      <rPr>
        <sz val="11"/>
        <color rgb="FF000000"/>
        <rFont val="Arial"/>
        <family val="2"/>
      </rPr>
      <t>·</t>
    </r>
    <r>
      <rPr>
        <sz val="11"/>
        <color rgb="FF000000"/>
        <rFont val="Noto Sans CJK SC"/>
        <family val="2"/>
      </rPr>
      <t>인문지식</t>
    </r>
    <r>
      <rPr>
        <sz val="11"/>
        <color rgb="FF000000"/>
        <rFont val="Arial"/>
        <family val="2"/>
      </rPr>
      <t>·</t>
    </r>
    <r>
      <rPr>
        <sz val="11"/>
        <color rgb="FF000000"/>
        <rFont val="Noto Sans CJK SC"/>
        <family val="2"/>
      </rPr>
      <t>국제업무 비자 절차 진행</t>
    </r>
  </si>
  <si>
    <r>
      <rPr>
        <i/>
        <sz val="10"/>
        <rFont val="Noto Sans CJK SC"/>
        <family val="2"/>
      </rPr>
      <t>※ 이 시트는 참고용 로드맵입니다</t>
    </r>
    <r>
      <rPr>
        <i/>
        <sz val="10"/>
        <rFont val="Arial"/>
        <family val="2"/>
      </rPr>
      <t xml:space="preserve">. </t>
    </r>
    <r>
      <rPr>
        <i/>
        <sz val="10"/>
        <rFont val="Noto Sans CJK SC"/>
        <family val="2"/>
      </rPr>
      <t xml:space="preserve">실제 매일 체크는 </t>
    </r>
    <r>
      <rPr>
        <i/>
        <sz val="10"/>
        <rFont val="Arial"/>
        <family val="2"/>
      </rPr>
      <t>'</t>
    </r>
    <r>
      <rPr>
        <i/>
        <sz val="10"/>
        <rFont val="Noto Sans CJK SC"/>
        <family val="2"/>
      </rPr>
      <t>주간체크리스트</t>
    </r>
    <r>
      <rPr>
        <i/>
        <sz val="10"/>
        <rFont val="Arial"/>
        <family val="2"/>
      </rPr>
      <t xml:space="preserve">' </t>
    </r>
    <r>
      <rPr>
        <i/>
        <sz val="10"/>
        <rFont val="Noto Sans CJK SC"/>
        <family val="2"/>
      </rPr>
      <t>시트에서 진행하세요</t>
    </r>
    <r>
      <rPr>
        <i/>
        <sz val="10"/>
        <rFont val="Arial"/>
        <family val="2"/>
      </rPr>
      <t>.</t>
    </r>
  </si>
  <si>
    <r>
      <t xml:space="preserve">일본 </t>
    </r>
    <r>
      <rPr>
        <b/>
        <sz val="16"/>
        <color rgb="FFFFFFFF"/>
        <rFont val="Arial"/>
        <family val="2"/>
      </rPr>
      <t xml:space="preserve">IT </t>
    </r>
    <r>
      <rPr>
        <b/>
        <sz val="16"/>
        <color rgb="FFFFFFFF"/>
        <rFont val="Noto Sans CJK SC"/>
        <family val="2"/>
      </rPr>
      <t xml:space="preserve">취업 목표 트래커  </t>
    </r>
    <r>
      <rPr>
        <b/>
        <sz val="16"/>
        <color rgb="FFFFFFFF"/>
        <rFont val="Arial"/>
        <family val="2"/>
      </rPr>
      <t>(</t>
    </r>
    <r>
      <rPr>
        <b/>
        <sz val="16"/>
        <color rgb="FFFFFFFF"/>
        <rFont val="Malgun Gothic"/>
        <family val="2"/>
        <charset val="129"/>
      </rPr>
      <t>형록</t>
    </r>
    <r>
      <rPr>
        <b/>
        <sz val="16"/>
        <color rgb="FFFFFFFF"/>
        <rFont val="Noto Sans CJK SC"/>
        <family val="2"/>
      </rPr>
      <t xml:space="preserve"> </t>
    </r>
    <r>
      <rPr>
        <b/>
        <sz val="16"/>
        <color rgb="FFFFFFFF"/>
        <rFont val="Arial"/>
        <family val="2"/>
      </rPr>
      <t>/ 2026-07 ~ 2027-04)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</si>
</sst>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16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6"/>
      <color rgb="FFFFFFFF"/>
      <name val="Arial"/>
      <family val="2"/>
    </font>
    <font>
      <b/>
      <sz val="12"/>
      <color rgb="FFFFFFFF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11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b/>
      <sz val="11"/>
      <color rgb="FF0000FF"/>
      <name val="Arial"/>
      <family val="2"/>
    </font>
    <font>
      <i/>
      <sz val="10"/>
      <name val="Arial"/>
      <family val="2"/>
    </font>
    <font>
      <i/>
      <sz val="10"/>
      <name val="Noto Sans CJK SC"/>
      <family val="2"/>
    </font>
    <font>
      <sz val="8"/>
      <name val="나눔명조"/>
      <family val="3"/>
      <charset val="129"/>
    </font>
    <font>
      <b/>
      <sz val="16"/>
      <color rgb="FFFFFFFF"/>
      <name val="Malgun Gothic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3" fillId="0" borderId="0" xfId="0" applyFont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center" wrapText="1"/>
    </xf>
    <xf numFmtId="0" fontId="3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/>
    <xf numFmtId="176" fontId="11" fillId="0" borderId="1" xfId="0" applyNumberFormat="1" applyFont="1" applyBorder="1"/>
    <xf numFmtId="0" fontId="9" fillId="0" borderId="1" xfId="0" applyFont="1" applyBorder="1"/>
    <xf numFmtId="0" fontId="11" fillId="0" borderId="1" xfId="0" applyFont="1" applyBorder="1"/>
    <xf numFmtId="176" fontId="8" fillId="0" borderId="1" xfId="0" applyNumberFormat="1" applyFont="1" applyBorder="1"/>
    <xf numFmtId="0" fontId="8" fillId="0" borderId="1" xfId="0" applyFont="1" applyBorder="1"/>
    <xf numFmtId="177" fontId="8" fillId="0" borderId="1" xfId="0" applyNumberFormat="1" applyFont="1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>
          <bgColor rgb="FFA9D08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D9E1F2"/>
      <rgbColor rgb="FFC6E0B4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A9D08E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showGridLines="0" tabSelected="1" zoomScaleNormal="100" workbookViewId="0">
      <pane ySplit="1" topLeftCell="A2" activePane="bottomLeft" state="frozen"/>
      <selection pane="bottomLeft" sqref="A1:E1"/>
    </sheetView>
  </sheetViews>
  <sheetFormatPr baseColWidth="10" defaultColWidth="8.6640625" defaultRowHeight="15"/>
  <cols>
    <col min="1" max="1" width="22" customWidth="1"/>
    <col min="2" max="2" width="30" customWidth="1"/>
    <col min="3" max="3" width="18" customWidth="1"/>
    <col min="4" max="5" width="12" customWidth="1"/>
  </cols>
  <sheetData>
    <row r="1" spans="1:5" ht="30" customHeight="1">
      <c r="A1" s="8" t="s">
        <v>90</v>
      </c>
      <c r="B1" s="8"/>
      <c r="C1" s="8"/>
      <c r="D1" s="8"/>
      <c r="E1" s="8"/>
    </row>
    <row r="3" spans="1:5" ht="19.5" customHeight="1">
      <c r="A3" s="7" t="s">
        <v>0</v>
      </c>
      <c r="B3" s="7"/>
      <c r="C3" s="7"/>
      <c r="D3" s="7"/>
      <c r="E3" s="7"/>
    </row>
    <row r="4" spans="1:5" ht="16">
      <c r="A4" s="9" t="s">
        <v>1</v>
      </c>
      <c r="B4" s="9" t="s">
        <v>2</v>
      </c>
      <c r="C4" s="9" t="s">
        <v>3</v>
      </c>
    </row>
    <row r="5" spans="1:5" ht="16">
      <c r="A5" s="10" t="s">
        <v>4</v>
      </c>
      <c r="B5" s="11" t="s">
        <v>5</v>
      </c>
      <c r="C5" s="12" t="s">
        <v>6</v>
      </c>
    </row>
    <row r="6" spans="1:5" ht="16">
      <c r="A6" s="10" t="s">
        <v>7</v>
      </c>
      <c r="B6" s="12" t="s">
        <v>8</v>
      </c>
      <c r="C6" s="12" t="s">
        <v>9</v>
      </c>
    </row>
    <row r="7" spans="1:5" ht="16">
      <c r="A7" s="10" t="s">
        <v>10</v>
      </c>
      <c r="B7" s="12" t="s">
        <v>11</v>
      </c>
      <c r="C7" s="12" t="s">
        <v>12</v>
      </c>
    </row>
    <row r="8" spans="1:5" ht="30">
      <c r="A8" s="10" t="s">
        <v>13</v>
      </c>
      <c r="B8" s="11" t="s">
        <v>14</v>
      </c>
      <c r="C8" s="12" t="s">
        <v>15</v>
      </c>
    </row>
    <row r="9" spans="1:5" ht="16">
      <c r="A9" s="10" t="s">
        <v>16</v>
      </c>
      <c r="B9" s="11" t="s">
        <v>17</v>
      </c>
      <c r="C9" s="12" t="s">
        <v>18</v>
      </c>
    </row>
    <row r="11" spans="1:5" ht="19.5" customHeight="1">
      <c r="A11" s="7" t="s">
        <v>19</v>
      </c>
      <c r="B11" s="7"/>
      <c r="C11" s="7"/>
      <c r="D11" s="7"/>
      <c r="E11" s="7"/>
    </row>
    <row r="12" spans="1:5">
      <c r="A12" s="13" t="s">
        <v>20</v>
      </c>
      <c r="B12" s="14">
        <v>46230</v>
      </c>
    </row>
    <row r="13" spans="1:5">
      <c r="A13" s="13" t="s">
        <v>21</v>
      </c>
      <c r="B13" s="14">
        <v>46324</v>
      </c>
    </row>
    <row r="14" spans="1:5">
      <c r="A14" s="13" t="s">
        <v>22</v>
      </c>
      <c r="B14" s="14">
        <v>46476</v>
      </c>
    </row>
    <row r="15" spans="1:5">
      <c r="A15" s="15" t="s">
        <v>23</v>
      </c>
      <c r="B15" s="14">
        <v>46362</v>
      </c>
    </row>
    <row r="16" spans="1:5">
      <c r="A16" s="13" t="s">
        <v>24</v>
      </c>
      <c r="B16" s="14">
        <v>46387</v>
      </c>
    </row>
    <row r="17" spans="1:5">
      <c r="A17" s="13" t="s">
        <v>25</v>
      </c>
      <c r="B17" s="16">
        <v>92</v>
      </c>
    </row>
    <row r="18" spans="1:5">
      <c r="A18" s="13" t="s">
        <v>26</v>
      </c>
      <c r="B18" s="16">
        <v>75</v>
      </c>
    </row>
    <row r="20" spans="1:5" ht="19.5" customHeight="1">
      <c r="A20" s="7" t="s">
        <v>27</v>
      </c>
      <c r="B20" s="7"/>
      <c r="C20" s="7"/>
      <c r="D20" s="7"/>
      <c r="E20" s="7"/>
    </row>
    <row r="21" spans="1:5">
      <c r="A21" s="13" t="s">
        <v>28</v>
      </c>
      <c r="B21" s="17">
        <f ca="1">TODAY()</f>
        <v>46229</v>
      </c>
    </row>
    <row r="22" spans="1:5">
      <c r="A22" s="13" t="s">
        <v>29</v>
      </c>
      <c r="B22" s="18">
        <f ca="1">IF(TODAY()&lt;$B$12,0,INT((TODAY()-$B$12)/7)+1)</f>
        <v>0</v>
      </c>
    </row>
    <row r="23" spans="1:5">
      <c r="A23" s="13" t="s">
        <v>30</v>
      </c>
      <c r="B23" s="18" t="str">
        <f ca="1">IF(TODAY()&lt;$B$13,"1단계: 일본어 집중준비",IF(TODAY()&lt;=$B$14,"2단계: 부트캠프 병행","3단계: BJT/취업 스퍼트"))</f>
        <v>1단계: 일본어 집중준비</v>
      </c>
    </row>
    <row r="24" spans="1:5">
      <c r="A24" s="13" t="s">
        <v>31</v>
      </c>
      <c r="B24" s="19">
        <f ca="1">IF(TODAY()&lt;=$B$16,$B$17+($B$18-$B$17)*(TODAY()-$B$12)/($B$16-$B$12),$B$18)</f>
        <v>92.108280254777071</v>
      </c>
    </row>
    <row r="25" spans="1:5">
      <c r="A25" s="13" t="s">
        <v>32</v>
      </c>
      <c r="B25" s="18">
        <f>COUNTIF(주간체크리스트!F5:L43,"O")</f>
        <v>0</v>
      </c>
    </row>
    <row r="26" spans="1:5">
      <c r="A26" s="13" t="s">
        <v>33</v>
      </c>
      <c r="B26" s="18">
        <f>COUNTIF(주간체크리스트!M5:S43,"O")</f>
        <v>0</v>
      </c>
    </row>
    <row r="27" spans="1:5">
      <c r="A27" s="13" t="s">
        <v>34</v>
      </c>
      <c r="B27" s="18">
        <f>COUNTIF(주간체크리스트!T5:Z43,"O")</f>
        <v>0</v>
      </c>
    </row>
    <row r="28" spans="1:5">
      <c r="A28" s="13" t="s">
        <v>35</v>
      </c>
      <c r="B28" s="18">
        <f>COUNTA(주간체크리스트!AD5:AD43)</f>
        <v>0</v>
      </c>
    </row>
    <row r="30" spans="1:5" ht="19.5" customHeight="1">
      <c r="A30" s="7" t="s">
        <v>36</v>
      </c>
      <c r="B30" s="7"/>
      <c r="C30" s="7"/>
      <c r="D30" s="7"/>
      <c r="E30" s="7"/>
    </row>
    <row r="31" spans="1:5" ht="29.75" customHeight="1">
      <c r="A31" s="6" t="s">
        <v>37</v>
      </c>
      <c r="B31" s="6"/>
      <c r="C31" s="6"/>
      <c r="D31" s="6"/>
      <c r="E31" s="6"/>
    </row>
    <row r="32" spans="1:5" ht="15" customHeight="1">
      <c r="A32" s="6" t="s">
        <v>38</v>
      </c>
      <c r="B32" s="6"/>
      <c r="C32" s="6"/>
      <c r="D32" s="6"/>
      <c r="E32" s="6"/>
    </row>
    <row r="33" spans="1:5" ht="15" customHeight="1">
      <c r="A33" s="6" t="s">
        <v>39</v>
      </c>
      <c r="B33" s="6"/>
      <c r="C33" s="6"/>
      <c r="D33" s="6"/>
      <c r="E33" s="6"/>
    </row>
    <row r="34" spans="1:5" ht="15" customHeight="1">
      <c r="A34" s="6" t="s">
        <v>40</v>
      </c>
      <c r="B34" s="6"/>
      <c r="C34" s="6"/>
      <c r="D34" s="6"/>
      <c r="E34" s="6"/>
    </row>
  </sheetData>
  <mergeCells count="9">
    <mergeCell ref="A31:E31"/>
    <mergeCell ref="A32:E32"/>
    <mergeCell ref="A33:E33"/>
    <mergeCell ref="A34:E34"/>
    <mergeCell ref="A1:E1"/>
    <mergeCell ref="A3:E3"/>
    <mergeCell ref="A11:E11"/>
    <mergeCell ref="A20:E20"/>
    <mergeCell ref="A30:E30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3"/>
  <sheetViews>
    <sheetView showGridLines="0"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baseColWidth="10" defaultColWidth="8.6640625" defaultRowHeight="15"/>
  <cols>
    <col min="1" max="1" width="6" customWidth="1"/>
    <col min="2" max="3" width="11" customWidth="1"/>
    <col min="4" max="4" width="20" customWidth="1"/>
    <col min="5" max="5" width="11" customWidth="1"/>
    <col min="6" max="26" width="4.5" customWidth="1"/>
    <col min="27" max="29" width="8" customWidth="1"/>
    <col min="30" max="30" width="10" customWidth="1"/>
    <col min="31" max="31" width="22" customWidth="1"/>
  </cols>
  <sheetData>
    <row r="1" spans="1:31" ht="25.5" customHeight="1">
      <c r="A1" s="8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3" spans="1:31" ht="24" customHeight="1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4" t="s">
        <v>47</v>
      </c>
      <c r="G3" s="4"/>
      <c r="H3" s="4"/>
      <c r="I3" s="4"/>
      <c r="J3" s="4"/>
      <c r="K3" s="4"/>
      <c r="L3" s="4"/>
      <c r="M3" s="3" t="s">
        <v>48</v>
      </c>
      <c r="N3" s="3"/>
      <c r="O3" s="3"/>
      <c r="P3" s="3"/>
      <c r="Q3" s="3"/>
      <c r="R3" s="3"/>
      <c r="S3" s="3"/>
      <c r="T3" s="2" t="s">
        <v>49</v>
      </c>
      <c r="U3" s="2"/>
      <c r="V3" s="2"/>
      <c r="W3" s="2"/>
      <c r="X3" s="2"/>
      <c r="Y3" s="2"/>
      <c r="Z3" s="2"/>
      <c r="AA3" s="5" t="s">
        <v>50</v>
      </c>
      <c r="AB3" s="5" t="s">
        <v>51</v>
      </c>
      <c r="AC3" s="5" t="s">
        <v>52</v>
      </c>
      <c r="AD3" s="5" t="s">
        <v>53</v>
      </c>
      <c r="AE3" s="5" t="s">
        <v>54</v>
      </c>
    </row>
    <row r="4" spans="1:31" ht="18" customHeight="1">
      <c r="A4" s="5"/>
      <c r="B4" s="5"/>
      <c r="C4" s="5"/>
      <c r="D4" s="5"/>
      <c r="E4" s="5"/>
      <c r="F4" s="20" t="s">
        <v>55</v>
      </c>
      <c r="G4" s="20" t="s">
        <v>56</v>
      </c>
      <c r="H4" s="20" t="s">
        <v>57</v>
      </c>
      <c r="I4" s="20" t="s">
        <v>58</v>
      </c>
      <c r="J4" s="20" t="s">
        <v>59</v>
      </c>
      <c r="K4" s="20" t="s">
        <v>60</v>
      </c>
      <c r="L4" s="20" t="s">
        <v>61</v>
      </c>
      <c r="M4" s="21" t="s">
        <v>55</v>
      </c>
      <c r="N4" s="21" t="s">
        <v>56</v>
      </c>
      <c r="O4" s="21" t="s">
        <v>57</v>
      </c>
      <c r="P4" s="21" t="s">
        <v>58</v>
      </c>
      <c r="Q4" s="21" t="s">
        <v>59</v>
      </c>
      <c r="R4" s="21" t="s">
        <v>60</v>
      </c>
      <c r="S4" s="21" t="s">
        <v>61</v>
      </c>
      <c r="T4" s="22" t="s">
        <v>55</v>
      </c>
      <c r="U4" s="22" t="s">
        <v>56</v>
      </c>
      <c r="V4" s="22" t="s">
        <v>57</v>
      </c>
      <c r="W4" s="22" t="s">
        <v>58</v>
      </c>
      <c r="X4" s="22" t="s">
        <v>59</v>
      </c>
      <c r="Y4" s="22" t="s">
        <v>60</v>
      </c>
      <c r="Z4" s="22" t="s">
        <v>61</v>
      </c>
      <c r="AA4" s="5"/>
      <c r="AB4" s="5"/>
      <c r="AC4" s="5"/>
      <c r="AD4" s="5"/>
      <c r="AE4" s="5"/>
    </row>
    <row r="5" spans="1:31" ht="16">
      <c r="A5" s="23">
        <v>1</v>
      </c>
      <c r="B5" s="24">
        <v>46230</v>
      </c>
      <c r="C5" s="25">
        <f t="shared" ref="C5:C43" si="0">B5+6</f>
        <v>46236</v>
      </c>
      <c r="D5" s="23" t="str">
        <f>IF(B5&lt;대시보드!$B$13,"1단계: 일본어 집중준비",IF(B5&lt;=대시보드!$B$14,"2단계: 부트캠프 병행","3단계: BJT/취업 스퍼트"))</f>
        <v>1단계: 일본어 집중준비</v>
      </c>
      <c r="E5" s="26">
        <f>IF(B5&lt;=대시보드!$B$16,대시보드!$B$17+(대시보드!$B$18-대시보드!$B$17)*(B5-대시보드!$B$12)/(대시보드!$B$16-대시보드!$B$12),대시보드!$B$18)</f>
        <v>92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>
        <f t="shared" ref="AA5:AA43" si="1">COUNTIF(F5:L5,"O")</f>
        <v>0</v>
      </c>
      <c r="AB5" s="23">
        <f t="shared" ref="AB5:AB43" si="2">COUNTIF(M5:S5,"O")</f>
        <v>0</v>
      </c>
      <c r="AC5" s="23">
        <f t="shared" ref="AC5:AC43" si="3">COUNTIF(T5:Z5,"O")</f>
        <v>0</v>
      </c>
      <c r="AD5" s="27"/>
      <c r="AE5" s="28"/>
    </row>
    <row r="6" spans="1:31" ht="16">
      <c r="A6" s="23">
        <v>2</v>
      </c>
      <c r="B6" s="25">
        <f t="shared" ref="B6:B43" si="4">B5+7</f>
        <v>46237</v>
      </c>
      <c r="C6" s="25">
        <f t="shared" si="0"/>
        <v>46243</v>
      </c>
      <c r="D6" s="23" t="str">
        <f>IF(B6&lt;대시보드!$B$13,"1단계: 일본어 집중준비",IF(B6&lt;=대시보드!$B$14,"2단계: 부트캠프 병행","3단계: BJT/취업 스퍼트"))</f>
        <v>1단계: 일본어 집중준비</v>
      </c>
      <c r="E6" s="26">
        <f>IF(B6&lt;=대시보드!$B$16,대시보드!$B$17+(대시보드!$B$18-대시보드!$B$17)*(B6-대시보드!$B$12)/(대시보드!$B$16-대시보드!$B$12),대시보드!$B$18)</f>
        <v>91.242038216560516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>
        <f t="shared" si="1"/>
        <v>0</v>
      </c>
      <c r="AB6" s="23">
        <f t="shared" si="2"/>
        <v>0</v>
      </c>
      <c r="AC6" s="23">
        <f t="shared" si="3"/>
        <v>0</v>
      </c>
      <c r="AD6" s="27"/>
      <c r="AE6" s="28"/>
    </row>
    <row r="7" spans="1:31" ht="16">
      <c r="A7" s="23">
        <v>3</v>
      </c>
      <c r="B7" s="25">
        <f t="shared" si="4"/>
        <v>46244</v>
      </c>
      <c r="C7" s="25">
        <f t="shared" si="0"/>
        <v>46250</v>
      </c>
      <c r="D7" s="23" t="str">
        <f>IF(B7&lt;대시보드!$B$13,"1단계: 일본어 집중준비",IF(B7&lt;=대시보드!$B$14,"2단계: 부트캠프 병행","3단계: BJT/취업 스퍼트"))</f>
        <v>1단계: 일본어 집중준비</v>
      </c>
      <c r="E7" s="26">
        <f>IF(B7&lt;=대시보드!$B$16,대시보드!$B$17+(대시보드!$B$18-대시보드!$B$17)*(B7-대시보드!$B$12)/(대시보드!$B$16-대시보드!$B$12),대시보드!$B$18)</f>
        <v>90.484076433121018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>
        <f t="shared" si="1"/>
        <v>0</v>
      </c>
      <c r="AB7" s="23">
        <f t="shared" si="2"/>
        <v>0</v>
      </c>
      <c r="AC7" s="23">
        <f t="shared" si="3"/>
        <v>0</v>
      </c>
      <c r="AD7" s="27"/>
      <c r="AE7" s="28"/>
    </row>
    <row r="8" spans="1:31" ht="16">
      <c r="A8" s="23">
        <v>4</v>
      </c>
      <c r="B8" s="25">
        <f t="shared" si="4"/>
        <v>46251</v>
      </c>
      <c r="C8" s="25">
        <f t="shared" si="0"/>
        <v>46257</v>
      </c>
      <c r="D8" s="23" t="str">
        <f>IF(B8&lt;대시보드!$B$13,"1단계: 일본어 집중준비",IF(B8&lt;=대시보드!$B$14,"2단계: 부트캠프 병행","3단계: BJT/취업 스퍼트"))</f>
        <v>1단계: 일본어 집중준비</v>
      </c>
      <c r="E8" s="26">
        <f>IF(B8&lt;=대시보드!$B$16,대시보드!$B$17+(대시보드!$B$18-대시보드!$B$17)*(B8-대시보드!$B$12)/(대시보드!$B$16-대시보드!$B$12),대시보드!$B$18)</f>
        <v>89.726114649681534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>
        <f t="shared" si="1"/>
        <v>0</v>
      </c>
      <c r="AB8" s="23">
        <f t="shared" si="2"/>
        <v>0</v>
      </c>
      <c r="AC8" s="23">
        <f t="shared" si="3"/>
        <v>0</v>
      </c>
      <c r="AD8" s="27"/>
      <c r="AE8" s="28"/>
    </row>
    <row r="9" spans="1:31" ht="16">
      <c r="A9" s="23">
        <v>5</v>
      </c>
      <c r="B9" s="25">
        <f t="shared" si="4"/>
        <v>46258</v>
      </c>
      <c r="C9" s="25">
        <f t="shared" si="0"/>
        <v>46264</v>
      </c>
      <c r="D9" s="23" t="str">
        <f>IF(B9&lt;대시보드!$B$13,"1단계: 일본어 집중준비",IF(B9&lt;=대시보드!$B$14,"2단계: 부트캠프 병행","3단계: BJT/취업 스퍼트"))</f>
        <v>1단계: 일본어 집중준비</v>
      </c>
      <c r="E9" s="26">
        <f>IF(B9&lt;=대시보드!$B$16,대시보드!$B$17+(대시보드!$B$18-대시보드!$B$17)*(B9-대시보드!$B$12)/(대시보드!$B$16-대시보드!$B$12),대시보드!$B$18)</f>
        <v>88.968152866242036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>
        <f t="shared" si="1"/>
        <v>0</v>
      </c>
      <c r="AB9" s="23">
        <f t="shared" si="2"/>
        <v>0</v>
      </c>
      <c r="AC9" s="23">
        <f t="shared" si="3"/>
        <v>0</v>
      </c>
      <c r="AD9" s="27"/>
      <c r="AE9" s="28"/>
    </row>
    <row r="10" spans="1:31" ht="16">
      <c r="A10" s="23">
        <v>6</v>
      </c>
      <c r="B10" s="25">
        <f t="shared" si="4"/>
        <v>46265</v>
      </c>
      <c r="C10" s="25">
        <f t="shared" si="0"/>
        <v>46271</v>
      </c>
      <c r="D10" s="23" t="str">
        <f>IF(B10&lt;대시보드!$B$13,"1단계: 일본어 집중준비",IF(B10&lt;=대시보드!$B$14,"2단계: 부트캠프 병행","3단계: BJT/취업 스퍼트"))</f>
        <v>1단계: 일본어 집중준비</v>
      </c>
      <c r="E10" s="26">
        <f>IF(B10&lt;=대시보드!$B$16,대시보드!$B$17+(대시보드!$B$18-대시보드!$B$17)*(B10-대시보드!$B$12)/(대시보드!$B$16-대시보드!$B$12),대시보드!$B$18)</f>
        <v>88.210191082802552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>
        <f t="shared" si="1"/>
        <v>0</v>
      </c>
      <c r="AB10" s="23">
        <f t="shared" si="2"/>
        <v>0</v>
      </c>
      <c r="AC10" s="23">
        <f t="shared" si="3"/>
        <v>0</v>
      </c>
      <c r="AD10" s="27"/>
      <c r="AE10" s="28"/>
    </row>
    <row r="11" spans="1:31" ht="16">
      <c r="A11" s="23">
        <v>7</v>
      </c>
      <c r="B11" s="25">
        <f t="shared" si="4"/>
        <v>46272</v>
      </c>
      <c r="C11" s="25">
        <f t="shared" si="0"/>
        <v>46278</v>
      </c>
      <c r="D11" s="23" t="str">
        <f>IF(B11&lt;대시보드!$B$13,"1단계: 일본어 집중준비",IF(B11&lt;=대시보드!$B$14,"2단계: 부트캠프 병행","3단계: BJT/취업 스퍼트"))</f>
        <v>1단계: 일본어 집중준비</v>
      </c>
      <c r="E11" s="26">
        <f>IF(B11&lt;=대시보드!$B$16,대시보드!$B$17+(대시보드!$B$18-대시보드!$B$17)*(B11-대시보드!$B$12)/(대시보드!$B$16-대시보드!$B$12),대시보드!$B$18)</f>
        <v>87.452229299363054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>
        <f t="shared" si="1"/>
        <v>0</v>
      </c>
      <c r="AB11" s="23">
        <f t="shared" si="2"/>
        <v>0</v>
      </c>
      <c r="AC11" s="23">
        <f t="shared" si="3"/>
        <v>0</v>
      </c>
      <c r="AD11" s="27"/>
      <c r="AE11" s="28"/>
    </row>
    <row r="12" spans="1:31" ht="16">
      <c r="A12" s="23">
        <v>8</v>
      </c>
      <c r="B12" s="25">
        <f t="shared" si="4"/>
        <v>46279</v>
      </c>
      <c r="C12" s="25">
        <f t="shared" si="0"/>
        <v>46285</v>
      </c>
      <c r="D12" s="23" t="str">
        <f>IF(B12&lt;대시보드!$B$13,"1단계: 일본어 집중준비",IF(B12&lt;=대시보드!$B$14,"2단계: 부트캠프 병행","3단계: BJT/취업 스퍼트"))</f>
        <v>1단계: 일본어 집중준비</v>
      </c>
      <c r="E12" s="26">
        <f>IF(B12&lt;=대시보드!$B$16,대시보드!$B$17+(대시보드!$B$18-대시보드!$B$17)*(B12-대시보드!$B$12)/(대시보드!$B$16-대시보드!$B$12),대시보드!$B$18)</f>
        <v>86.69426751592357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>
        <f t="shared" si="1"/>
        <v>0</v>
      </c>
      <c r="AB12" s="23">
        <f t="shared" si="2"/>
        <v>0</v>
      </c>
      <c r="AC12" s="23">
        <f t="shared" si="3"/>
        <v>0</v>
      </c>
      <c r="AD12" s="27"/>
      <c r="AE12" s="28"/>
    </row>
    <row r="13" spans="1:31" ht="16">
      <c r="A13" s="23">
        <v>9</v>
      </c>
      <c r="B13" s="25">
        <f t="shared" si="4"/>
        <v>46286</v>
      </c>
      <c r="C13" s="25">
        <f t="shared" si="0"/>
        <v>46292</v>
      </c>
      <c r="D13" s="23" t="str">
        <f>IF(B13&lt;대시보드!$B$13,"1단계: 일본어 집중준비",IF(B13&lt;=대시보드!$B$14,"2단계: 부트캠프 병행","3단계: BJT/취업 스퍼트"))</f>
        <v>1단계: 일본어 집중준비</v>
      </c>
      <c r="E13" s="26">
        <f>IF(B13&lt;=대시보드!$B$16,대시보드!$B$17+(대시보드!$B$18-대시보드!$B$17)*(B13-대시보드!$B$12)/(대시보드!$B$16-대시보드!$B$12),대시보드!$B$18)</f>
        <v>85.936305732484072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>
        <f t="shared" si="1"/>
        <v>0</v>
      </c>
      <c r="AB13" s="23">
        <f t="shared" si="2"/>
        <v>0</v>
      </c>
      <c r="AC13" s="23">
        <f t="shared" si="3"/>
        <v>0</v>
      </c>
      <c r="AD13" s="27"/>
      <c r="AE13" s="28"/>
    </row>
    <row r="14" spans="1:31" ht="16">
      <c r="A14" s="23">
        <v>10</v>
      </c>
      <c r="B14" s="25">
        <f t="shared" si="4"/>
        <v>46293</v>
      </c>
      <c r="C14" s="25">
        <f t="shared" si="0"/>
        <v>46299</v>
      </c>
      <c r="D14" s="23" t="str">
        <f>IF(B14&lt;대시보드!$B$13,"1단계: 일본어 집중준비",IF(B14&lt;=대시보드!$B$14,"2단계: 부트캠프 병행","3단계: BJT/취업 스퍼트"))</f>
        <v>1단계: 일본어 집중준비</v>
      </c>
      <c r="E14" s="26">
        <f>IF(B14&lt;=대시보드!$B$16,대시보드!$B$17+(대시보드!$B$18-대시보드!$B$17)*(B14-대시보드!$B$12)/(대시보드!$B$16-대시보드!$B$12),대시보드!$B$18)</f>
        <v>85.178343949044589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1"/>
        <v>0</v>
      </c>
      <c r="AB14" s="23">
        <f t="shared" si="2"/>
        <v>0</v>
      </c>
      <c r="AC14" s="23">
        <f t="shared" si="3"/>
        <v>0</v>
      </c>
      <c r="AD14" s="27"/>
      <c r="AE14" s="28"/>
    </row>
    <row r="15" spans="1:31" ht="16">
      <c r="A15" s="23">
        <v>11</v>
      </c>
      <c r="B15" s="25">
        <f t="shared" si="4"/>
        <v>46300</v>
      </c>
      <c r="C15" s="25">
        <f t="shared" si="0"/>
        <v>46306</v>
      </c>
      <c r="D15" s="23" t="str">
        <f>IF(B15&lt;대시보드!$B$13,"1단계: 일본어 집중준비",IF(B15&lt;=대시보드!$B$14,"2단계: 부트캠프 병행","3단계: BJT/취업 스퍼트"))</f>
        <v>1단계: 일본어 집중준비</v>
      </c>
      <c r="E15" s="26">
        <f>IF(B15&lt;=대시보드!$B$16,대시보드!$B$17+(대시보드!$B$18-대시보드!$B$17)*(B15-대시보드!$B$12)/(대시보드!$B$16-대시보드!$B$12),대시보드!$B$18)</f>
        <v>84.420382165605091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>
        <f t="shared" si="1"/>
        <v>0</v>
      </c>
      <c r="AB15" s="23">
        <f t="shared" si="2"/>
        <v>0</v>
      </c>
      <c r="AC15" s="23">
        <f t="shared" si="3"/>
        <v>0</v>
      </c>
      <c r="AD15" s="27"/>
      <c r="AE15" s="28"/>
    </row>
    <row r="16" spans="1:31" ht="16">
      <c r="A16" s="23">
        <v>12</v>
      </c>
      <c r="B16" s="25">
        <f t="shared" si="4"/>
        <v>46307</v>
      </c>
      <c r="C16" s="25">
        <f t="shared" si="0"/>
        <v>46313</v>
      </c>
      <c r="D16" s="23" t="str">
        <f>IF(B16&lt;대시보드!$B$13,"1단계: 일본어 집중준비",IF(B16&lt;=대시보드!$B$14,"2단계: 부트캠프 병행","3단계: BJT/취업 스퍼트"))</f>
        <v>1단계: 일본어 집중준비</v>
      </c>
      <c r="E16" s="26">
        <f>IF(B16&lt;=대시보드!$B$16,대시보드!$B$17+(대시보드!$B$18-대시보드!$B$17)*(B16-대시보드!$B$12)/(대시보드!$B$16-대시보드!$B$12),대시보드!$B$18)</f>
        <v>83.662420382165607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>
        <f t="shared" si="1"/>
        <v>0</v>
      </c>
      <c r="AB16" s="23">
        <f t="shared" si="2"/>
        <v>0</v>
      </c>
      <c r="AC16" s="23">
        <f t="shared" si="3"/>
        <v>0</v>
      </c>
      <c r="AD16" s="27"/>
      <c r="AE16" s="28"/>
    </row>
    <row r="17" spans="1:31" ht="16">
      <c r="A17" s="23">
        <v>13</v>
      </c>
      <c r="B17" s="25">
        <f t="shared" si="4"/>
        <v>46314</v>
      </c>
      <c r="C17" s="25">
        <f t="shared" si="0"/>
        <v>46320</v>
      </c>
      <c r="D17" s="23" t="str">
        <f>IF(B17&lt;대시보드!$B$13,"1단계: 일본어 집중준비",IF(B17&lt;=대시보드!$B$14,"2단계: 부트캠프 병행","3단계: BJT/취업 스퍼트"))</f>
        <v>1단계: 일본어 집중준비</v>
      </c>
      <c r="E17" s="26">
        <f>IF(B17&lt;=대시보드!$B$16,대시보드!$B$17+(대시보드!$B$18-대시보드!$B$17)*(B17-대시보드!$B$12)/(대시보드!$B$16-대시보드!$B$12),대시보드!$B$18)</f>
        <v>82.904458598726109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>
        <f t="shared" si="1"/>
        <v>0</v>
      </c>
      <c r="AB17" s="23">
        <f t="shared" si="2"/>
        <v>0</v>
      </c>
      <c r="AC17" s="23">
        <f t="shared" si="3"/>
        <v>0</v>
      </c>
      <c r="AD17" s="27"/>
      <c r="AE17" s="28"/>
    </row>
    <row r="18" spans="1:31" ht="16">
      <c r="A18" s="23">
        <v>14</v>
      </c>
      <c r="B18" s="25">
        <f t="shared" si="4"/>
        <v>46321</v>
      </c>
      <c r="C18" s="25">
        <f t="shared" si="0"/>
        <v>46327</v>
      </c>
      <c r="D18" s="23" t="str">
        <f>IF(B18&lt;대시보드!$B$13,"1단계: 일본어 집중준비",IF(B18&lt;=대시보드!$B$14,"2단계: 부트캠프 병행","3단계: BJT/취업 스퍼트"))</f>
        <v>1단계: 일본어 집중준비</v>
      </c>
      <c r="E18" s="26">
        <f>IF(B18&lt;=대시보드!$B$16,대시보드!$B$17+(대시보드!$B$18-대시보드!$B$17)*(B18-대시보드!$B$12)/(대시보드!$B$16-대시보드!$B$12),대시보드!$B$18)</f>
        <v>82.146496815286625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>
        <f t="shared" si="1"/>
        <v>0</v>
      </c>
      <c r="AB18" s="23">
        <f t="shared" si="2"/>
        <v>0</v>
      </c>
      <c r="AC18" s="23">
        <f t="shared" si="3"/>
        <v>0</v>
      </c>
      <c r="AD18" s="27"/>
      <c r="AE18" s="28"/>
    </row>
    <row r="19" spans="1:31" ht="16">
      <c r="A19" s="23">
        <v>15</v>
      </c>
      <c r="B19" s="25">
        <f t="shared" si="4"/>
        <v>46328</v>
      </c>
      <c r="C19" s="25">
        <f t="shared" si="0"/>
        <v>46334</v>
      </c>
      <c r="D19" s="23" t="str">
        <f>IF(B19&lt;대시보드!$B$13,"1단계: 일본어 집중준비",IF(B19&lt;=대시보드!$B$14,"2단계: 부트캠프 병행","3단계: BJT/취업 스퍼트"))</f>
        <v>2단계: 부트캠프 병행</v>
      </c>
      <c r="E19" s="26">
        <f>IF(B19&lt;=대시보드!$B$16,대시보드!$B$17+(대시보드!$B$18-대시보드!$B$17)*(B19-대시보드!$B$12)/(대시보드!$B$16-대시보드!$B$12),대시보드!$B$18)</f>
        <v>81.388535031847141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>
        <f t="shared" si="1"/>
        <v>0</v>
      </c>
      <c r="AB19" s="23">
        <f t="shared" si="2"/>
        <v>0</v>
      </c>
      <c r="AC19" s="23">
        <f t="shared" si="3"/>
        <v>0</v>
      </c>
      <c r="AD19" s="27"/>
      <c r="AE19" s="28"/>
    </row>
    <row r="20" spans="1:31" ht="16">
      <c r="A20" s="23">
        <v>16</v>
      </c>
      <c r="B20" s="25">
        <f t="shared" si="4"/>
        <v>46335</v>
      </c>
      <c r="C20" s="25">
        <f t="shared" si="0"/>
        <v>46341</v>
      </c>
      <c r="D20" s="23" t="str">
        <f>IF(B20&lt;대시보드!$B$13,"1단계: 일본어 집중준비",IF(B20&lt;=대시보드!$B$14,"2단계: 부트캠프 병행","3단계: BJT/취업 스퍼트"))</f>
        <v>2단계: 부트캠프 병행</v>
      </c>
      <c r="E20" s="26">
        <f>IF(B20&lt;=대시보드!$B$16,대시보드!$B$17+(대시보드!$B$18-대시보드!$B$17)*(B20-대시보드!$B$12)/(대시보드!$B$16-대시보드!$B$12),대시보드!$B$18)</f>
        <v>80.630573248407643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>
        <f t="shared" si="1"/>
        <v>0</v>
      </c>
      <c r="AB20" s="23">
        <f t="shared" si="2"/>
        <v>0</v>
      </c>
      <c r="AC20" s="23">
        <f t="shared" si="3"/>
        <v>0</v>
      </c>
      <c r="AD20" s="27"/>
      <c r="AE20" s="28"/>
    </row>
    <row r="21" spans="1:31" ht="16">
      <c r="A21" s="23">
        <v>17</v>
      </c>
      <c r="B21" s="25">
        <f t="shared" si="4"/>
        <v>46342</v>
      </c>
      <c r="C21" s="25">
        <f t="shared" si="0"/>
        <v>46348</v>
      </c>
      <c r="D21" s="23" t="str">
        <f>IF(B21&lt;대시보드!$B$13,"1단계: 일본어 집중준비",IF(B21&lt;=대시보드!$B$14,"2단계: 부트캠프 병행","3단계: BJT/취업 스퍼트"))</f>
        <v>2단계: 부트캠프 병행</v>
      </c>
      <c r="E21" s="26">
        <f>IF(B21&lt;=대시보드!$B$16,대시보드!$B$17+(대시보드!$B$18-대시보드!$B$17)*(B21-대시보드!$B$12)/(대시보드!$B$16-대시보드!$B$12),대시보드!$B$18)</f>
        <v>79.872611464968145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1"/>
        <v>0</v>
      </c>
      <c r="AB21" s="23">
        <f t="shared" si="2"/>
        <v>0</v>
      </c>
      <c r="AC21" s="23">
        <f t="shared" si="3"/>
        <v>0</v>
      </c>
      <c r="AD21" s="27"/>
      <c r="AE21" s="28"/>
    </row>
    <row r="22" spans="1:31" ht="16">
      <c r="A22" s="23">
        <v>18</v>
      </c>
      <c r="B22" s="25">
        <f t="shared" si="4"/>
        <v>46349</v>
      </c>
      <c r="C22" s="25">
        <f t="shared" si="0"/>
        <v>46355</v>
      </c>
      <c r="D22" s="23" t="str">
        <f>IF(B22&lt;대시보드!$B$13,"1단계: 일본어 집중준비",IF(B22&lt;=대시보드!$B$14,"2단계: 부트캠프 병행","3단계: BJT/취업 스퍼트"))</f>
        <v>2단계: 부트캠프 병행</v>
      </c>
      <c r="E22" s="26">
        <f>IF(B22&lt;=대시보드!$B$16,대시보드!$B$17+(대시보드!$B$18-대시보드!$B$17)*(B22-대시보드!$B$12)/(대시보드!$B$16-대시보드!$B$12),대시보드!$B$18)</f>
        <v>79.114649681528661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>
        <f t="shared" si="1"/>
        <v>0</v>
      </c>
      <c r="AB22" s="23">
        <f t="shared" si="2"/>
        <v>0</v>
      </c>
      <c r="AC22" s="23">
        <f t="shared" si="3"/>
        <v>0</v>
      </c>
      <c r="AD22" s="27"/>
      <c r="AE22" s="28"/>
    </row>
    <row r="23" spans="1:31" ht="16">
      <c r="A23" s="23">
        <v>19</v>
      </c>
      <c r="B23" s="25">
        <f t="shared" si="4"/>
        <v>46356</v>
      </c>
      <c r="C23" s="25">
        <f t="shared" si="0"/>
        <v>46362</v>
      </c>
      <c r="D23" s="23" t="str">
        <f>IF(B23&lt;대시보드!$B$13,"1단계: 일본어 집중준비",IF(B23&lt;=대시보드!$B$14,"2단계: 부트캠프 병행","3단계: BJT/취업 스퍼트"))</f>
        <v>2단계: 부트캠프 병행</v>
      </c>
      <c r="E23" s="26">
        <f>IF(B23&lt;=대시보드!$B$16,대시보드!$B$17+(대시보드!$B$18-대시보드!$B$17)*(B23-대시보드!$B$12)/(대시보드!$B$16-대시보드!$B$12),대시보드!$B$18)</f>
        <v>78.356687898089177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>
        <f t="shared" si="1"/>
        <v>0</v>
      </c>
      <c r="AB23" s="23">
        <f t="shared" si="2"/>
        <v>0</v>
      </c>
      <c r="AC23" s="23">
        <f t="shared" si="3"/>
        <v>0</v>
      </c>
      <c r="AD23" s="27"/>
      <c r="AE23" s="28"/>
    </row>
    <row r="24" spans="1:31" ht="16">
      <c r="A24" s="23">
        <v>20</v>
      </c>
      <c r="B24" s="25">
        <f t="shared" si="4"/>
        <v>46363</v>
      </c>
      <c r="C24" s="25">
        <f t="shared" si="0"/>
        <v>46369</v>
      </c>
      <c r="D24" s="23" t="str">
        <f>IF(B24&lt;대시보드!$B$13,"1단계: 일본어 집중준비",IF(B24&lt;=대시보드!$B$14,"2단계: 부트캠프 병행","3단계: BJT/취업 스퍼트"))</f>
        <v>2단계: 부트캠프 병행</v>
      </c>
      <c r="E24" s="26">
        <f>IF(B24&lt;=대시보드!$B$16,대시보드!$B$17+(대시보드!$B$18-대시보드!$B$17)*(B24-대시보드!$B$12)/(대시보드!$B$16-대시보드!$B$12),대시보드!$B$18)</f>
        <v>77.598726114649679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f t="shared" si="1"/>
        <v>0</v>
      </c>
      <c r="AB24" s="23">
        <f t="shared" si="2"/>
        <v>0</v>
      </c>
      <c r="AC24" s="23">
        <f t="shared" si="3"/>
        <v>0</v>
      </c>
      <c r="AD24" s="27"/>
      <c r="AE24" s="28"/>
    </row>
    <row r="25" spans="1:31" ht="16">
      <c r="A25" s="23">
        <v>21</v>
      </c>
      <c r="B25" s="25">
        <f t="shared" si="4"/>
        <v>46370</v>
      </c>
      <c r="C25" s="25">
        <f t="shared" si="0"/>
        <v>46376</v>
      </c>
      <c r="D25" s="23" t="str">
        <f>IF(B25&lt;대시보드!$B$13,"1단계: 일본어 집중준비",IF(B25&lt;=대시보드!$B$14,"2단계: 부트캠프 병행","3단계: BJT/취업 스퍼트"))</f>
        <v>2단계: 부트캠프 병행</v>
      </c>
      <c r="E25" s="26">
        <f>IF(B25&lt;=대시보드!$B$16,대시보드!$B$17+(대시보드!$B$18-대시보드!$B$17)*(B25-대시보드!$B$12)/(대시보드!$B$16-대시보드!$B$12),대시보드!$B$18)</f>
        <v>76.840764331210195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f t="shared" si="1"/>
        <v>0</v>
      </c>
      <c r="AB25" s="23">
        <f t="shared" si="2"/>
        <v>0</v>
      </c>
      <c r="AC25" s="23">
        <f t="shared" si="3"/>
        <v>0</v>
      </c>
      <c r="AD25" s="27"/>
      <c r="AE25" s="28"/>
    </row>
    <row r="26" spans="1:31" ht="16">
      <c r="A26" s="23">
        <v>22</v>
      </c>
      <c r="B26" s="25">
        <f t="shared" si="4"/>
        <v>46377</v>
      </c>
      <c r="C26" s="25">
        <f t="shared" si="0"/>
        <v>46383</v>
      </c>
      <c r="D26" s="23" t="str">
        <f>IF(B26&lt;대시보드!$B$13,"1단계: 일본어 집중준비",IF(B26&lt;=대시보드!$B$14,"2단계: 부트캠프 병행","3단계: BJT/취업 스퍼트"))</f>
        <v>2단계: 부트캠프 병행</v>
      </c>
      <c r="E26" s="26">
        <f>IF(B26&lt;=대시보드!$B$16,대시보드!$B$17+(대시보드!$B$18-대시보드!$B$17)*(B26-대시보드!$B$12)/(대시보드!$B$16-대시보드!$B$12),대시보드!$B$18)</f>
        <v>76.082802547770697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>
        <f t="shared" si="1"/>
        <v>0</v>
      </c>
      <c r="AB26" s="23">
        <f t="shared" si="2"/>
        <v>0</v>
      </c>
      <c r="AC26" s="23">
        <f t="shared" si="3"/>
        <v>0</v>
      </c>
      <c r="AD26" s="27"/>
      <c r="AE26" s="28"/>
    </row>
    <row r="27" spans="1:31" ht="16">
      <c r="A27" s="23">
        <v>23</v>
      </c>
      <c r="B27" s="25">
        <f t="shared" si="4"/>
        <v>46384</v>
      </c>
      <c r="C27" s="25">
        <f t="shared" si="0"/>
        <v>46390</v>
      </c>
      <c r="D27" s="23" t="str">
        <f>IF(B27&lt;대시보드!$B$13,"1단계: 일본어 집중준비",IF(B27&lt;=대시보드!$B$14,"2단계: 부트캠프 병행","3단계: BJT/취업 스퍼트"))</f>
        <v>2단계: 부트캠프 병행</v>
      </c>
      <c r="E27" s="26">
        <f>IF(B27&lt;=대시보드!$B$16,대시보드!$B$17+(대시보드!$B$18-대시보드!$B$17)*(B27-대시보드!$B$12)/(대시보드!$B$16-대시보드!$B$12),대시보드!$B$18)</f>
        <v>75.324840764331213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f t="shared" si="1"/>
        <v>0</v>
      </c>
      <c r="AB27" s="23">
        <f t="shared" si="2"/>
        <v>0</v>
      </c>
      <c r="AC27" s="23">
        <f t="shared" si="3"/>
        <v>0</v>
      </c>
      <c r="AD27" s="27"/>
      <c r="AE27" s="28"/>
    </row>
    <row r="28" spans="1:31" ht="16">
      <c r="A28" s="23">
        <v>24</v>
      </c>
      <c r="B28" s="25">
        <f t="shared" si="4"/>
        <v>46391</v>
      </c>
      <c r="C28" s="25">
        <f t="shared" si="0"/>
        <v>46397</v>
      </c>
      <c r="D28" s="23" t="str">
        <f>IF(B28&lt;대시보드!$B$13,"1단계: 일본어 집중준비",IF(B28&lt;=대시보드!$B$14,"2단계: 부트캠프 병행","3단계: BJT/취업 스퍼트"))</f>
        <v>2단계: 부트캠프 병행</v>
      </c>
      <c r="E28" s="26">
        <f>IF(B28&lt;=대시보드!$B$16,대시보드!$B$17+(대시보드!$B$18-대시보드!$B$17)*(B28-대시보드!$B$12)/(대시보드!$B$16-대시보드!$B$12),대시보드!$B$18)</f>
        <v>75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>
        <f t="shared" si="1"/>
        <v>0</v>
      </c>
      <c r="AB28" s="23">
        <f t="shared" si="2"/>
        <v>0</v>
      </c>
      <c r="AC28" s="23">
        <f t="shared" si="3"/>
        <v>0</v>
      </c>
      <c r="AD28" s="27"/>
      <c r="AE28" s="28"/>
    </row>
    <row r="29" spans="1:31" ht="16">
      <c r="A29" s="23">
        <v>25</v>
      </c>
      <c r="B29" s="25">
        <f t="shared" si="4"/>
        <v>46398</v>
      </c>
      <c r="C29" s="25">
        <f t="shared" si="0"/>
        <v>46404</v>
      </c>
      <c r="D29" s="23" t="str">
        <f>IF(B29&lt;대시보드!$B$13,"1단계: 일본어 집중준비",IF(B29&lt;=대시보드!$B$14,"2단계: 부트캠프 병행","3단계: BJT/취업 스퍼트"))</f>
        <v>2단계: 부트캠프 병행</v>
      </c>
      <c r="E29" s="26">
        <f>IF(B29&lt;=대시보드!$B$16,대시보드!$B$17+(대시보드!$B$18-대시보드!$B$17)*(B29-대시보드!$B$12)/(대시보드!$B$16-대시보드!$B$12),대시보드!$B$18)</f>
        <v>75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>
        <f t="shared" si="1"/>
        <v>0</v>
      </c>
      <c r="AB29" s="23">
        <f t="shared" si="2"/>
        <v>0</v>
      </c>
      <c r="AC29" s="23">
        <f t="shared" si="3"/>
        <v>0</v>
      </c>
      <c r="AD29" s="27"/>
      <c r="AE29" s="28"/>
    </row>
    <row r="30" spans="1:31" ht="16">
      <c r="A30" s="23">
        <v>26</v>
      </c>
      <c r="B30" s="25">
        <f t="shared" si="4"/>
        <v>46405</v>
      </c>
      <c r="C30" s="25">
        <f t="shared" si="0"/>
        <v>46411</v>
      </c>
      <c r="D30" s="23" t="str">
        <f>IF(B30&lt;대시보드!$B$13,"1단계: 일본어 집중준비",IF(B30&lt;=대시보드!$B$14,"2단계: 부트캠프 병행","3단계: BJT/취업 스퍼트"))</f>
        <v>2단계: 부트캠프 병행</v>
      </c>
      <c r="E30" s="26">
        <f>IF(B30&lt;=대시보드!$B$16,대시보드!$B$17+(대시보드!$B$18-대시보드!$B$17)*(B30-대시보드!$B$12)/(대시보드!$B$16-대시보드!$B$12),대시보드!$B$18)</f>
        <v>75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>
        <f t="shared" si="1"/>
        <v>0</v>
      </c>
      <c r="AB30" s="23">
        <f t="shared" si="2"/>
        <v>0</v>
      </c>
      <c r="AC30" s="23">
        <f t="shared" si="3"/>
        <v>0</v>
      </c>
      <c r="AD30" s="27"/>
      <c r="AE30" s="28"/>
    </row>
    <row r="31" spans="1:31" ht="16">
      <c r="A31" s="23">
        <v>27</v>
      </c>
      <c r="B31" s="25">
        <f t="shared" si="4"/>
        <v>46412</v>
      </c>
      <c r="C31" s="25">
        <f t="shared" si="0"/>
        <v>46418</v>
      </c>
      <c r="D31" s="23" t="str">
        <f>IF(B31&lt;대시보드!$B$13,"1단계: 일본어 집중준비",IF(B31&lt;=대시보드!$B$14,"2단계: 부트캠프 병행","3단계: BJT/취업 스퍼트"))</f>
        <v>2단계: 부트캠프 병행</v>
      </c>
      <c r="E31" s="26">
        <f>IF(B31&lt;=대시보드!$B$16,대시보드!$B$17+(대시보드!$B$18-대시보드!$B$17)*(B31-대시보드!$B$12)/(대시보드!$B$16-대시보드!$B$12),대시보드!$B$18)</f>
        <v>75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>
        <f t="shared" si="1"/>
        <v>0</v>
      </c>
      <c r="AB31" s="23">
        <f t="shared" si="2"/>
        <v>0</v>
      </c>
      <c r="AC31" s="23">
        <f t="shared" si="3"/>
        <v>0</v>
      </c>
      <c r="AD31" s="27"/>
      <c r="AE31" s="28"/>
    </row>
    <row r="32" spans="1:31" ht="16">
      <c r="A32" s="23">
        <v>28</v>
      </c>
      <c r="B32" s="25">
        <f t="shared" si="4"/>
        <v>46419</v>
      </c>
      <c r="C32" s="25">
        <f t="shared" si="0"/>
        <v>46425</v>
      </c>
      <c r="D32" s="23" t="str">
        <f>IF(B32&lt;대시보드!$B$13,"1단계: 일본어 집중준비",IF(B32&lt;=대시보드!$B$14,"2단계: 부트캠프 병행","3단계: BJT/취업 스퍼트"))</f>
        <v>2단계: 부트캠프 병행</v>
      </c>
      <c r="E32" s="26">
        <f>IF(B32&lt;=대시보드!$B$16,대시보드!$B$17+(대시보드!$B$18-대시보드!$B$17)*(B32-대시보드!$B$12)/(대시보드!$B$16-대시보드!$B$12),대시보드!$B$18)</f>
        <v>75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>
        <f t="shared" si="1"/>
        <v>0</v>
      </c>
      <c r="AB32" s="23">
        <f t="shared" si="2"/>
        <v>0</v>
      </c>
      <c r="AC32" s="23">
        <f t="shared" si="3"/>
        <v>0</v>
      </c>
      <c r="AD32" s="27"/>
      <c r="AE32" s="28"/>
    </row>
    <row r="33" spans="1:31" ht="16">
      <c r="A33" s="23">
        <v>29</v>
      </c>
      <c r="B33" s="25">
        <f t="shared" si="4"/>
        <v>46426</v>
      </c>
      <c r="C33" s="25">
        <f t="shared" si="0"/>
        <v>46432</v>
      </c>
      <c r="D33" s="23" t="str">
        <f>IF(B33&lt;대시보드!$B$13,"1단계: 일본어 집중준비",IF(B33&lt;=대시보드!$B$14,"2단계: 부트캠프 병행","3단계: BJT/취업 스퍼트"))</f>
        <v>2단계: 부트캠프 병행</v>
      </c>
      <c r="E33" s="26">
        <f>IF(B33&lt;=대시보드!$B$16,대시보드!$B$17+(대시보드!$B$18-대시보드!$B$17)*(B33-대시보드!$B$12)/(대시보드!$B$16-대시보드!$B$12),대시보드!$B$18)</f>
        <v>75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>
        <f t="shared" si="1"/>
        <v>0</v>
      </c>
      <c r="AB33" s="23">
        <f t="shared" si="2"/>
        <v>0</v>
      </c>
      <c r="AC33" s="23">
        <f t="shared" si="3"/>
        <v>0</v>
      </c>
      <c r="AD33" s="27"/>
      <c r="AE33" s="28"/>
    </row>
    <row r="34" spans="1:31" ht="16">
      <c r="A34" s="23">
        <v>30</v>
      </c>
      <c r="B34" s="25">
        <f t="shared" si="4"/>
        <v>46433</v>
      </c>
      <c r="C34" s="25">
        <f t="shared" si="0"/>
        <v>46439</v>
      </c>
      <c r="D34" s="23" t="str">
        <f>IF(B34&lt;대시보드!$B$13,"1단계: 일본어 집중준비",IF(B34&lt;=대시보드!$B$14,"2단계: 부트캠프 병행","3단계: BJT/취업 스퍼트"))</f>
        <v>2단계: 부트캠프 병행</v>
      </c>
      <c r="E34" s="26">
        <f>IF(B34&lt;=대시보드!$B$16,대시보드!$B$17+(대시보드!$B$18-대시보드!$B$17)*(B34-대시보드!$B$12)/(대시보드!$B$16-대시보드!$B$12),대시보드!$B$18)</f>
        <v>75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>
        <f t="shared" si="1"/>
        <v>0</v>
      </c>
      <c r="AB34" s="23">
        <f t="shared" si="2"/>
        <v>0</v>
      </c>
      <c r="AC34" s="23">
        <f t="shared" si="3"/>
        <v>0</v>
      </c>
      <c r="AD34" s="27"/>
      <c r="AE34" s="28"/>
    </row>
    <row r="35" spans="1:31" ht="16">
      <c r="A35" s="23">
        <v>31</v>
      </c>
      <c r="B35" s="25">
        <f t="shared" si="4"/>
        <v>46440</v>
      </c>
      <c r="C35" s="25">
        <f t="shared" si="0"/>
        <v>46446</v>
      </c>
      <c r="D35" s="23" t="str">
        <f>IF(B35&lt;대시보드!$B$13,"1단계: 일본어 집중준비",IF(B35&lt;=대시보드!$B$14,"2단계: 부트캠프 병행","3단계: BJT/취업 스퍼트"))</f>
        <v>2단계: 부트캠프 병행</v>
      </c>
      <c r="E35" s="26">
        <f>IF(B35&lt;=대시보드!$B$16,대시보드!$B$17+(대시보드!$B$18-대시보드!$B$17)*(B35-대시보드!$B$12)/(대시보드!$B$16-대시보드!$B$12),대시보드!$B$18)</f>
        <v>75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>
        <f t="shared" si="1"/>
        <v>0</v>
      </c>
      <c r="AB35" s="23">
        <f t="shared" si="2"/>
        <v>0</v>
      </c>
      <c r="AC35" s="23">
        <f t="shared" si="3"/>
        <v>0</v>
      </c>
      <c r="AD35" s="27"/>
      <c r="AE35" s="28"/>
    </row>
    <row r="36" spans="1:31" ht="16">
      <c r="A36" s="23">
        <v>32</v>
      </c>
      <c r="B36" s="25">
        <f t="shared" si="4"/>
        <v>46447</v>
      </c>
      <c r="C36" s="25">
        <f t="shared" si="0"/>
        <v>46453</v>
      </c>
      <c r="D36" s="23" t="str">
        <f>IF(B36&lt;대시보드!$B$13,"1단계: 일본어 집중준비",IF(B36&lt;=대시보드!$B$14,"2단계: 부트캠프 병행","3단계: BJT/취업 스퍼트"))</f>
        <v>2단계: 부트캠프 병행</v>
      </c>
      <c r="E36" s="26">
        <f>IF(B36&lt;=대시보드!$B$16,대시보드!$B$17+(대시보드!$B$18-대시보드!$B$17)*(B36-대시보드!$B$12)/(대시보드!$B$16-대시보드!$B$12),대시보드!$B$18)</f>
        <v>75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>
        <f t="shared" si="1"/>
        <v>0</v>
      </c>
      <c r="AB36" s="23">
        <f t="shared" si="2"/>
        <v>0</v>
      </c>
      <c r="AC36" s="23">
        <f t="shared" si="3"/>
        <v>0</v>
      </c>
      <c r="AD36" s="27"/>
      <c r="AE36" s="28"/>
    </row>
    <row r="37" spans="1:31" ht="16">
      <c r="A37" s="23">
        <v>33</v>
      </c>
      <c r="B37" s="25">
        <f t="shared" si="4"/>
        <v>46454</v>
      </c>
      <c r="C37" s="25">
        <f t="shared" si="0"/>
        <v>46460</v>
      </c>
      <c r="D37" s="23" t="str">
        <f>IF(B37&lt;대시보드!$B$13,"1단계: 일본어 집중준비",IF(B37&lt;=대시보드!$B$14,"2단계: 부트캠프 병행","3단계: BJT/취업 스퍼트"))</f>
        <v>2단계: 부트캠프 병행</v>
      </c>
      <c r="E37" s="26">
        <f>IF(B37&lt;=대시보드!$B$16,대시보드!$B$17+(대시보드!$B$18-대시보드!$B$17)*(B37-대시보드!$B$12)/(대시보드!$B$16-대시보드!$B$12),대시보드!$B$18)</f>
        <v>75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>
        <f t="shared" si="1"/>
        <v>0</v>
      </c>
      <c r="AB37" s="23">
        <f t="shared" si="2"/>
        <v>0</v>
      </c>
      <c r="AC37" s="23">
        <f t="shared" si="3"/>
        <v>0</v>
      </c>
      <c r="AD37" s="27"/>
      <c r="AE37" s="28"/>
    </row>
    <row r="38" spans="1:31" ht="16">
      <c r="A38" s="23">
        <v>34</v>
      </c>
      <c r="B38" s="25">
        <f t="shared" si="4"/>
        <v>46461</v>
      </c>
      <c r="C38" s="25">
        <f t="shared" si="0"/>
        <v>46467</v>
      </c>
      <c r="D38" s="23" t="str">
        <f>IF(B38&lt;대시보드!$B$13,"1단계: 일본어 집중준비",IF(B38&lt;=대시보드!$B$14,"2단계: 부트캠프 병행","3단계: BJT/취업 스퍼트"))</f>
        <v>2단계: 부트캠프 병행</v>
      </c>
      <c r="E38" s="26">
        <f>IF(B38&lt;=대시보드!$B$16,대시보드!$B$17+(대시보드!$B$18-대시보드!$B$17)*(B38-대시보드!$B$12)/(대시보드!$B$16-대시보드!$B$12),대시보드!$B$18)</f>
        <v>75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>
        <f t="shared" si="1"/>
        <v>0</v>
      </c>
      <c r="AB38" s="23">
        <f t="shared" si="2"/>
        <v>0</v>
      </c>
      <c r="AC38" s="23">
        <f t="shared" si="3"/>
        <v>0</v>
      </c>
      <c r="AD38" s="27"/>
      <c r="AE38" s="28"/>
    </row>
    <row r="39" spans="1:31" ht="16">
      <c r="A39" s="23">
        <v>35</v>
      </c>
      <c r="B39" s="25">
        <f t="shared" si="4"/>
        <v>46468</v>
      </c>
      <c r="C39" s="25">
        <f t="shared" si="0"/>
        <v>46474</v>
      </c>
      <c r="D39" s="23" t="str">
        <f>IF(B39&lt;대시보드!$B$13,"1단계: 일본어 집중준비",IF(B39&lt;=대시보드!$B$14,"2단계: 부트캠프 병행","3단계: BJT/취업 스퍼트"))</f>
        <v>2단계: 부트캠프 병행</v>
      </c>
      <c r="E39" s="26">
        <f>IF(B39&lt;=대시보드!$B$16,대시보드!$B$17+(대시보드!$B$18-대시보드!$B$17)*(B39-대시보드!$B$12)/(대시보드!$B$16-대시보드!$B$12),대시보드!$B$18)</f>
        <v>75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>
        <f t="shared" si="1"/>
        <v>0</v>
      </c>
      <c r="AB39" s="23">
        <f t="shared" si="2"/>
        <v>0</v>
      </c>
      <c r="AC39" s="23">
        <f t="shared" si="3"/>
        <v>0</v>
      </c>
      <c r="AD39" s="27"/>
      <c r="AE39" s="28"/>
    </row>
    <row r="40" spans="1:31" ht="16">
      <c r="A40" s="23">
        <v>36</v>
      </c>
      <c r="B40" s="25">
        <f t="shared" si="4"/>
        <v>46475</v>
      </c>
      <c r="C40" s="25">
        <f t="shared" si="0"/>
        <v>46481</v>
      </c>
      <c r="D40" s="23" t="str">
        <f>IF(B40&lt;대시보드!$B$13,"1단계: 일본어 집중준비",IF(B40&lt;=대시보드!$B$14,"2단계: 부트캠프 병행","3단계: BJT/취업 스퍼트"))</f>
        <v>2단계: 부트캠프 병행</v>
      </c>
      <c r="E40" s="26">
        <f>IF(B40&lt;=대시보드!$B$16,대시보드!$B$17+(대시보드!$B$18-대시보드!$B$17)*(B40-대시보드!$B$12)/(대시보드!$B$16-대시보드!$B$12),대시보드!$B$18)</f>
        <v>75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>
        <f t="shared" si="1"/>
        <v>0</v>
      </c>
      <c r="AB40" s="23">
        <f t="shared" si="2"/>
        <v>0</v>
      </c>
      <c r="AC40" s="23">
        <f t="shared" si="3"/>
        <v>0</v>
      </c>
      <c r="AD40" s="27"/>
      <c r="AE40" s="28"/>
    </row>
    <row r="41" spans="1:31" ht="16">
      <c r="A41" s="23">
        <v>37</v>
      </c>
      <c r="B41" s="25">
        <f t="shared" si="4"/>
        <v>46482</v>
      </c>
      <c r="C41" s="25">
        <f t="shared" si="0"/>
        <v>46488</v>
      </c>
      <c r="D41" s="23" t="str">
        <f>IF(B41&lt;대시보드!$B$13,"1단계: 일본어 집중준비",IF(B41&lt;=대시보드!$B$14,"2단계: 부트캠프 병행","3단계: BJT/취업 스퍼트"))</f>
        <v>3단계: BJT/취업 스퍼트</v>
      </c>
      <c r="E41" s="26">
        <f>IF(B41&lt;=대시보드!$B$16,대시보드!$B$17+(대시보드!$B$18-대시보드!$B$17)*(B41-대시보드!$B$12)/(대시보드!$B$16-대시보드!$B$12),대시보드!$B$18)</f>
        <v>75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>
        <f t="shared" si="1"/>
        <v>0</v>
      </c>
      <c r="AB41" s="23">
        <f t="shared" si="2"/>
        <v>0</v>
      </c>
      <c r="AC41" s="23">
        <f t="shared" si="3"/>
        <v>0</v>
      </c>
      <c r="AD41" s="27"/>
      <c r="AE41" s="28"/>
    </row>
    <row r="42" spans="1:31" ht="16">
      <c r="A42" s="23">
        <v>38</v>
      </c>
      <c r="B42" s="25">
        <f t="shared" si="4"/>
        <v>46489</v>
      </c>
      <c r="C42" s="25">
        <f t="shared" si="0"/>
        <v>46495</v>
      </c>
      <c r="D42" s="23" t="str">
        <f>IF(B42&lt;대시보드!$B$13,"1단계: 일본어 집중준비",IF(B42&lt;=대시보드!$B$14,"2단계: 부트캠프 병행","3단계: BJT/취업 스퍼트"))</f>
        <v>3단계: BJT/취업 스퍼트</v>
      </c>
      <c r="E42" s="26">
        <f>IF(B42&lt;=대시보드!$B$16,대시보드!$B$17+(대시보드!$B$18-대시보드!$B$17)*(B42-대시보드!$B$12)/(대시보드!$B$16-대시보드!$B$12),대시보드!$B$18)</f>
        <v>75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>
        <f t="shared" si="1"/>
        <v>0</v>
      </c>
      <c r="AB42" s="23">
        <f t="shared" si="2"/>
        <v>0</v>
      </c>
      <c r="AC42" s="23">
        <f t="shared" si="3"/>
        <v>0</v>
      </c>
      <c r="AD42" s="27"/>
      <c r="AE42" s="28"/>
    </row>
    <row r="43" spans="1:31" ht="16">
      <c r="A43" s="23">
        <v>39</v>
      </c>
      <c r="B43" s="25">
        <f t="shared" si="4"/>
        <v>46496</v>
      </c>
      <c r="C43" s="25">
        <f t="shared" si="0"/>
        <v>46502</v>
      </c>
      <c r="D43" s="23" t="str">
        <f>IF(B43&lt;대시보드!$B$13,"1단계: 일본어 집중준비",IF(B43&lt;=대시보드!$B$14,"2단계: 부트캠프 병행","3단계: BJT/취업 스퍼트"))</f>
        <v>3단계: BJT/취업 스퍼트</v>
      </c>
      <c r="E43" s="26">
        <f>IF(B43&lt;=대시보드!$B$16,대시보드!$B$17+(대시보드!$B$18-대시보드!$B$17)*(B43-대시보드!$B$12)/(대시보드!$B$16-대시보드!$B$12),대시보드!$B$18)</f>
        <v>75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>
        <f t="shared" si="1"/>
        <v>0</v>
      </c>
      <c r="AB43" s="23">
        <f t="shared" si="2"/>
        <v>0</v>
      </c>
      <c r="AC43" s="23">
        <f t="shared" si="3"/>
        <v>0</v>
      </c>
      <c r="AD43" s="27"/>
      <c r="AE43" s="28"/>
    </row>
  </sheetData>
  <mergeCells count="14">
    <mergeCell ref="A1:AE1"/>
    <mergeCell ref="A3:A4"/>
    <mergeCell ref="B3:B4"/>
    <mergeCell ref="C3:C4"/>
    <mergeCell ref="D3:D4"/>
    <mergeCell ref="E3:E4"/>
    <mergeCell ref="F3:L3"/>
    <mergeCell ref="M3:S3"/>
    <mergeCell ref="T3:Z3"/>
    <mergeCell ref="AA3:AA4"/>
    <mergeCell ref="AB3:AB4"/>
    <mergeCell ref="AC3:AC4"/>
    <mergeCell ref="AD3:AD4"/>
    <mergeCell ref="AE3:AE4"/>
  </mergeCells>
  <phoneticPr fontId="14" type="noConversion"/>
  <conditionalFormatting sqref="A5:AE43">
    <cfRule type="expression" dxfId="1" priority="3">
      <formula>AND($B5&lt;=TODAY(),$C5&gt;=TODAY())</formula>
    </cfRule>
  </conditionalFormatting>
  <conditionalFormatting sqref="F5:Z43">
    <cfRule type="expression" dxfId="0" priority="2">
      <formula>F5="O"</formula>
    </cfRule>
  </conditionalFormatting>
  <dataValidations count="1">
    <dataValidation type="list" allowBlank="1" sqref="F5:Z43" xr:uid="{00000000-0002-0000-0100-000000000000}">
      <formula1>"O"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zoomScaleNormal="100" workbookViewId="0"/>
  </sheetViews>
  <sheetFormatPr baseColWidth="10" defaultColWidth="8.6640625" defaultRowHeight="15"/>
  <cols>
    <col min="1" max="1" width="20" customWidth="1"/>
    <col min="2" max="2" width="22" customWidth="1"/>
    <col min="3" max="3" width="32" customWidth="1"/>
    <col min="4" max="4" width="55" customWidth="1"/>
  </cols>
  <sheetData>
    <row r="1" spans="1:4" ht="25.5" customHeight="1">
      <c r="A1" s="8" t="s">
        <v>62</v>
      </c>
      <c r="B1" s="8"/>
      <c r="C1" s="8"/>
      <c r="D1" s="8"/>
    </row>
    <row r="3" spans="1:4" ht="16">
      <c r="A3" s="9" t="s">
        <v>63</v>
      </c>
      <c r="B3" s="9" t="s">
        <v>45</v>
      </c>
      <c r="C3" s="9" t="s">
        <v>0</v>
      </c>
      <c r="D3" s="9" t="s">
        <v>64</v>
      </c>
    </row>
    <row r="4" spans="1:4" ht="60" customHeight="1">
      <c r="A4" s="29" t="s">
        <v>65</v>
      </c>
      <c r="B4" s="30" t="s">
        <v>66</v>
      </c>
      <c r="C4" s="29" t="s">
        <v>67</v>
      </c>
      <c r="D4" s="31" t="s">
        <v>68</v>
      </c>
    </row>
    <row r="5" spans="1:4" ht="60" customHeight="1">
      <c r="A5" s="29" t="s">
        <v>69</v>
      </c>
      <c r="B5" s="30" t="s">
        <v>70</v>
      </c>
      <c r="C5" s="29" t="s">
        <v>71</v>
      </c>
      <c r="D5" s="31" t="s">
        <v>72</v>
      </c>
    </row>
    <row r="6" spans="1:4" ht="60" customHeight="1">
      <c r="A6" s="32" t="s">
        <v>73</v>
      </c>
      <c r="B6" s="33" t="s">
        <v>74</v>
      </c>
      <c r="C6" s="34" t="s">
        <v>75</v>
      </c>
      <c r="D6" s="35" t="s">
        <v>76</v>
      </c>
    </row>
    <row r="7" spans="1:4" ht="60" customHeight="1">
      <c r="A7" s="32" t="s">
        <v>77</v>
      </c>
      <c r="B7" s="33" t="s">
        <v>78</v>
      </c>
      <c r="C7" s="32" t="s">
        <v>79</v>
      </c>
      <c r="D7" s="35" t="s">
        <v>80</v>
      </c>
    </row>
    <row r="8" spans="1:4" ht="60" customHeight="1">
      <c r="A8" s="36" t="s">
        <v>81</v>
      </c>
      <c r="B8" s="37" t="s">
        <v>82</v>
      </c>
      <c r="C8" s="36" t="s">
        <v>83</v>
      </c>
      <c r="D8" s="38" t="s">
        <v>84</v>
      </c>
    </row>
    <row r="9" spans="1:4" ht="60" customHeight="1">
      <c r="A9" s="36" t="s">
        <v>85</v>
      </c>
      <c r="B9" s="37" t="s">
        <v>86</v>
      </c>
      <c r="C9" s="39" t="s">
        <v>87</v>
      </c>
      <c r="D9" s="38" t="s">
        <v>88</v>
      </c>
    </row>
    <row r="11" spans="1:4" ht="15" customHeight="1">
      <c r="A11" s="1" t="s">
        <v>89</v>
      </c>
      <c r="B11" s="1"/>
      <c r="C11" s="1"/>
      <c r="D11" s="1"/>
    </row>
  </sheetData>
  <mergeCells count="2">
    <mergeCell ref="A1:D1"/>
    <mergeCell ref="A11:D11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대시보드</vt:lpstr>
      <vt:lpstr>주간체크리스트</vt:lpstr>
      <vt:lpstr>월간마일스톤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2026-07-26T11:11:57Z</dcterms:created>
  <dcterms:modified xsi:type="dcterms:W3CDTF">2026-07-26T11:35:01Z</dcterms:modified>
  <dc:language>en-US</dc:language>
</cp:coreProperties>
</file>